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filterPrivacy="1" codeName="ThisWorkbook" defaultThemeVersion="124226"/>
  <xr:revisionPtr revIDLastSave="0" documentId="13_ncr:1_{C0107CD7-E9A1-4CEF-A287-D61D5D972792}" xr6:coauthVersionLast="47" xr6:coauthVersionMax="47" xr10:uidLastSave="{00000000-0000-0000-0000-000000000000}"/>
  <bookViews>
    <workbookView xWindow="-108" yWindow="-108" windowWidth="23256" windowHeight="12456" tabRatio="899" activeTab="1" xr2:uid="{00000000-000D-0000-FFFF-FFFF00000000}"/>
  </bookViews>
  <sheets>
    <sheet name="06 - CM" sheetId="18" r:id="rId1"/>
    <sheet name="Sheet8" sheetId="21" r:id="rId2"/>
  </sheets>
  <functionGroups builtInGroupCount="19"/>
  <externalReferences>
    <externalReference r:id="rId3"/>
  </externalReferences>
  <definedNames>
    <definedName name="adv_pmt" localSheetId="1">#REF!</definedName>
    <definedName name="adv_pmt">#REF!</definedName>
    <definedName name="f" localSheetId="1">#REF!</definedName>
    <definedName name="f">#REF!</definedName>
    <definedName name="FLF" localSheetId="1">#REF!</definedName>
    <definedName name="FLF">#REF!</definedName>
    <definedName name="gross_rental">#REF!</definedName>
    <definedName name="i">#REF!</definedName>
    <definedName name="INTEREST">#REF!</definedName>
    <definedName name="N">#REF!</definedName>
    <definedName name="net_rental">#REF!</definedName>
    <definedName name="p">#REF!</definedName>
    <definedName name="_xlnm.Print_Titles" localSheetId="0">'06 - CM'!$1:$1</definedName>
    <definedName name="RENTAL" localSheetId="1">#REF!</definedName>
    <definedName name="RENTAL">#REF!</definedName>
    <definedName name="sd_rate" localSheetId="1">#REF!</definedName>
    <definedName name="sd_rate">#REF!</definedName>
    <definedName name="srv_chrg" localSheetId="1">#REF!</definedName>
    <definedName name="srv_chrg">#REF!</definedName>
    <definedName name="tt">#REF!</definedName>
    <definedName name="tt_ra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2" i="21" l="1"/>
  <c r="M2" i="21"/>
  <c r="L2" i="21" l="1"/>
  <c r="K2" i="21"/>
  <c r="I2" i="21"/>
  <c r="H2" i="21"/>
  <c r="C2" i="21"/>
  <c r="B2" i="21"/>
  <c r="G2" i="21"/>
  <c r="A2" i="21"/>
  <c r="F2" i="21"/>
</calcChain>
</file>

<file path=xl/sharedStrings.xml><?xml version="1.0" encoding="utf-8"?>
<sst xmlns="http://schemas.openxmlformats.org/spreadsheetml/2006/main" count="240" uniqueCount="211">
  <si>
    <t>Basic Details</t>
  </si>
  <si>
    <t>Customer Details</t>
  </si>
  <si>
    <t>Facility Details</t>
  </si>
  <si>
    <t>Asset Type</t>
  </si>
  <si>
    <t>Make &amp; Model</t>
  </si>
  <si>
    <t>Registration Status</t>
  </si>
  <si>
    <t>Capital (Proposed)</t>
  </si>
  <si>
    <t xml:space="preserve">Processing Fee </t>
  </si>
  <si>
    <t>Stamp Duty</t>
  </si>
  <si>
    <t xml:space="preserve">Total Upfront Payment </t>
  </si>
  <si>
    <t>Tenure</t>
  </si>
  <si>
    <t>Introducer Name</t>
  </si>
  <si>
    <t>Proposed Pricing</t>
  </si>
  <si>
    <t>Net Monthly Income</t>
  </si>
  <si>
    <t>Primary Source of Income</t>
  </si>
  <si>
    <t>Net Monthly Income Verified</t>
  </si>
  <si>
    <t>60% of Net Verified Income</t>
  </si>
  <si>
    <t xml:space="preserve">Commitment on Existing Borrowings </t>
  </si>
  <si>
    <t xml:space="preserve">Commitment on Proposed Facility </t>
  </si>
  <si>
    <t>Character</t>
  </si>
  <si>
    <t>CRIB Availability</t>
  </si>
  <si>
    <t>CRIB Clearance</t>
  </si>
  <si>
    <t>Comments:</t>
  </si>
  <si>
    <t>No. of Months Analyzed</t>
  </si>
  <si>
    <t xml:space="preserve">Account Analysis </t>
  </si>
  <si>
    <t xml:space="preserve">Total Average  </t>
  </si>
  <si>
    <t>CRIB</t>
  </si>
  <si>
    <t>Detail account analysis with figures against each month should be attached along with CM.</t>
  </si>
  <si>
    <t>Asset &amp; Value</t>
  </si>
  <si>
    <t>Justification of Value</t>
  </si>
  <si>
    <t>Source of Ownership Verification</t>
  </si>
  <si>
    <t>Guarantor Name (1)</t>
  </si>
  <si>
    <t>NIC</t>
  </si>
  <si>
    <t>Guarantor Name (2)</t>
  </si>
  <si>
    <t>Overall Recommendation</t>
  </si>
  <si>
    <t>Net Monthly Income: Sources of Income, Income Verification and Other Details</t>
  </si>
  <si>
    <t>Recommended / Not Recommended / Approved</t>
  </si>
  <si>
    <t>Recommended / Approved / Declined</t>
  </si>
  <si>
    <t>Approved / Declined</t>
  </si>
  <si>
    <t>Recommendation / Justification to Approve / Decline</t>
  </si>
  <si>
    <t>Introducer Fee</t>
  </si>
  <si>
    <t>Bank</t>
  </si>
  <si>
    <t>Total Monthly Income Claimed</t>
  </si>
  <si>
    <t>Date</t>
  </si>
  <si>
    <t>Date of Application</t>
  </si>
  <si>
    <t>Ref No.</t>
  </si>
  <si>
    <t>Branch</t>
  </si>
  <si>
    <t>CRM</t>
  </si>
  <si>
    <t>Age</t>
  </si>
  <si>
    <t>CIF</t>
  </si>
  <si>
    <t>Registered</t>
  </si>
  <si>
    <t>Business</t>
  </si>
  <si>
    <t>N/A</t>
  </si>
  <si>
    <t>Hit Report</t>
  </si>
  <si>
    <t>No</t>
  </si>
  <si>
    <t>Please Refer Comments</t>
  </si>
  <si>
    <t>Total</t>
  </si>
  <si>
    <t>Registration Number</t>
  </si>
  <si>
    <t>Chassis Number</t>
  </si>
  <si>
    <t>Engine Number</t>
  </si>
  <si>
    <t>Year of Registration</t>
  </si>
  <si>
    <t>Address</t>
  </si>
  <si>
    <t>Approval (Head Office Use Only)</t>
  </si>
  <si>
    <t>Type</t>
  </si>
  <si>
    <t>Diminishing Musharaka - Vehicle - Credit Memorandum</t>
  </si>
  <si>
    <t>DM Value</t>
  </si>
  <si>
    <t>Rental</t>
  </si>
  <si>
    <t xml:space="preserve">Total </t>
  </si>
  <si>
    <t>Year of Manufacture</t>
  </si>
  <si>
    <t>Approval Conditions</t>
  </si>
  <si>
    <t>Supplier Name</t>
  </si>
  <si>
    <t>Details of Securities</t>
  </si>
  <si>
    <t xml:space="preserve">Details of Assets Owned by Customer(s) Indicating Sources of Verification </t>
  </si>
  <si>
    <t>Avg. 
Balance</t>
  </si>
  <si>
    <t xml:space="preserve">Avg. Monthly 
Withdrawals </t>
  </si>
  <si>
    <t>Avg. Monthly 
Deposits</t>
  </si>
  <si>
    <t>Explanation on How the Net Monthly Income was Verified</t>
  </si>
  <si>
    <t>Capacity</t>
  </si>
  <si>
    <t>Please create the deal upon disbursement / equal repayment.</t>
  </si>
  <si>
    <t>For Credit Admin Use only</t>
  </si>
  <si>
    <t>Purpose of Deal</t>
  </si>
  <si>
    <t>Markup</t>
  </si>
  <si>
    <t>Confirm the appropriate securities covering the above exposure have been duly executed, insurance compliance obtained, lodged and held under our custody. Grading, Sector, Collateral, Pricing and Limit have been updated in the system.</t>
  </si>
  <si>
    <t>Branch/CRM Confirmation upon Completion of Security Documentation/Covenants 
(POST APPROVAL)</t>
  </si>
  <si>
    <t>Rental Pre-Payment Formula</t>
  </si>
  <si>
    <t xml:space="preserve">Forced Sale Value </t>
  </si>
  <si>
    <t xml:space="preserve">Market Value </t>
  </si>
  <si>
    <t xml:space="preserve">Customer Exposure </t>
  </si>
  <si>
    <t>Bank Exposure with Purchase Price</t>
  </si>
  <si>
    <t>Purchase Price</t>
  </si>
  <si>
    <t>Proposed Limit</t>
  </si>
  <si>
    <t>Purpose of Facility</t>
  </si>
  <si>
    <t xml:space="preserve">Customer Background </t>
  </si>
  <si>
    <t>Relationship to 1</t>
  </si>
  <si>
    <t>2 - Name</t>
  </si>
  <si>
    <t>1 - Name</t>
  </si>
  <si>
    <t>Sub Industry Code</t>
  </si>
  <si>
    <t>Industry</t>
  </si>
  <si>
    <t>Sector</t>
  </si>
  <si>
    <t>Product Code</t>
  </si>
  <si>
    <t>Product</t>
  </si>
  <si>
    <t>CIF Type</t>
  </si>
  <si>
    <t>Type of Proposal</t>
  </si>
  <si>
    <t>Chief Risk Officer</t>
  </si>
  <si>
    <t>Invoice Date</t>
  </si>
  <si>
    <t>G2</t>
  </si>
  <si>
    <t>GN2</t>
  </si>
  <si>
    <t>Head - Credit Risk</t>
  </si>
  <si>
    <t>Loan to Value</t>
  </si>
  <si>
    <t>VP - Retail Banking &amp;  Marketing</t>
  </si>
  <si>
    <t>Head of Retail Advances</t>
  </si>
  <si>
    <t>Manager Branch Credit / Manager Credit</t>
  </si>
  <si>
    <t xml:space="preserve"> Front line Staff</t>
  </si>
  <si>
    <t>Branch Manager</t>
  </si>
  <si>
    <t>Fuel Type</t>
  </si>
  <si>
    <t xml:space="preserve"> Manager - RCP</t>
  </si>
  <si>
    <t>RPT</t>
  </si>
  <si>
    <t>PEP</t>
  </si>
  <si>
    <t>Canvassed by (System Update)</t>
  </si>
  <si>
    <t>Yes</t>
  </si>
  <si>
    <t>Other Charges (Legal Fee)</t>
  </si>
  <si>
    <t>DM Vehicle</t>
  </si>
  <si>
    <t>Risk Grade</t>
  </si>
  <si>
    <t>CRISIL Grade</t>
  </si>
  <si>
    <t>Total Obligations</t>
  </si>
  <si>
    <t>Surplus/Defecit</t>
  </si>
  <si>
    <t>DSR</t>
  </si>
  <si>
    <t>Take Home Salary/Income</t>
  </si>
  <si>
    <t>Group Sheet</t>
  </si>
  <si>
    <t>Name &amp; CIF</t>
  </si>
  <si>
    <t>Grading</t>
  </si>
  <si>
    <t>Product Type</t>
  </si>
  <si>
    <t>Capital O/S</t>
  </si>
  <si>
    <t>Approved Limit</t>
  </si>
  <si>
    <t>Customer Relationship with ABL</t>
  </si>
  <si>
    <t>Salary remitted to ABL/Cashflows routed via ABL</t>
  </si>
  <si>
    <t>Steps taken to assign Salary to ABL/Cashflows to ABL</t>
  </si>
  <si>
    <t>Reason if unable to assign Salary to ABL/canvass Cashflows to ABL</t>
  </si>
  <si>
    <t>Full Salary remitted to ABL</t>
  </si>
  <si>
    <t>Partial Salary remitted to ABL</t>
  </si>
  <si>
    <t>100% cash flows routed via ABL</t>
  </si>
  <si>
    <t>&lt;50% cash flows routed via  ABL</t>
  </si>
  <si>
    <t>&gt;50% cash flows routed via  ABL</t>
  </si>
  <si>
    <t>Justification if 'Yes'</t>
  </si>
  <si>
    <t>Valuation By &amp; Registration Number</t>
  </si>
  <si>
    <t>Ratnapura</t>
  </si>
  <si>
    <t>C</t>
  </si>
  <si>
    <t xml:space="preserve">Contact No : </t>
  </si>
  <si>
    <t>DM-Vehicle</t>
  </si>
  <si>
    <t>New</t>
  </si>
  <si>
    <t>Nil</t>
  </si>
  <si>
    <r>
      <rPr>
        <b/>
        <sz val="11"/>
        <color theme="0"/>
        <rFont val="Calibri"/>
        <family val="2"/>
        <scheme val="minor"/>
      </rPr>
      <t>1</t>
    </r>
    <r>
      <rPr>
        <b/>
        <sz val="11"/>
        <color theme="1"/>
        <rFont val="Calibri"/>
        <family val="2"/>
        <scheme val="minor"/>
      </rPr>
      <t xml:space="preserve"> - NIC</t>
    </r>
  </si>
  <si>
    <r>
      <rPr>
        <b/>
        <sz val="11"/>
        <color theme="0"/>
        <rFont val="Calibri"/>
        <family val="2"/>
        <scheme val="minor"/>
      </rPr>
      <t xml:space="preserve">2 </t>
    </r>
    <r>
      <rPr>
        <b/>
        <sz val="11"/>
        <color theme="1"/>
        <rFont val="Calibri"/>
        <family val="2"/>
        <scheme val="minor"/>
      </rPr>
      <t>- NIC</t>
    </r>
  </si>
  <si>
    <r>
      <rPr>
        <b/>
        <sz val="11"/>
        <color theme="0"/>
        <rFont val="Calibri"/>
        <family val="2"/>
        <scheme val="minor"/>
      </rPr>
      <t xml:space="preserve">Bank Exposure </t>
    </r>
    <r>
      <rPr>
        <b/>
        <sz val="11"/>
        <color theme="1"/>
        <rFont val="Calibri"/>
        <family val="2"/>
        <scheme val="minor"/>
      </rPr>
      <t>with FSV</t>
    </r>
  </si>
  <si>
    <r>
      <t xml:space="preserve">Cost
</t>
    </r>
    <r>
      <rPr>
        <b/>
        <i/>
        <sz val="11"/>
        <color theme="1"/>
        <rFont val="Calibri"/>
        <family val="2"/>
        <scheme val="minor"/>
      </rPr>
      <t>(Payorder Amount)</t>
    </r>
  </si>
  <si>
    <r>
      <t xml:space="preserve">Secondary Source of Income </t>
    </r>
    <r>
      <rPr>
        <i/>
        <sz val="11"/>
        <color theme="1"/>
        <rFont val="Calibri"/>
        <family val="2"/>
        <scheme val="minor"/>
      </rPr>
      <t>(if any)</t>
    </r>
  </si>
  <si>
    <t>AB/DMV/RAT/2021/019</t>
  </si>
  <si>
    <t>Business Cash flows are gradually moving with ABL.</t>
  </si>
  <si>
    <t>SupplierAddress</t>
  </si>
  <si>
    <r>
      <t xml:space="preserve">NIC </t>
    </r>
    <r>
      <rPr>
        <b/>
        <i/>
        <sz val="11"/>
        <color theme="1"/>
        <rFont val="Calibri"/>
        <family val="2"/>
        <scheme val="minor"/>
      </rPr>
      <t>(if individual)</t>
    </r>
  </si>
  <si>
    <t>M M Risvi -434701</t>
  </si>
  <si>
    <t>Ijara</t>
  </si>
  <si>
    <t>DA17V-829059</t>
  </si>
  <si>
    <t>R06A-2343767</t>
  </si>
  <si>
    <t>S &amp; T VEHICLE VALUATION CENTRE (PVT) LTD     (LASL/V/087)</t>
  </si>
  <si>
    <t>TBO</t>
  </si>
  <si>
    <t xml:space="preserve">
WA88390
</t>
  </si>
  <si>
    <t>Ind.- Business</t>
  </si>
  <si>
    <t xml:space="preserve">Amana </t>
  </si>
  <si>
    <t>Commercial Bank</t>
  </si>
  <si>
    <t>SERANDIB ROYAL BATH FITTINGS</t>
  </si>
  <si>
    <t xml:space="preserve">Business Use </t>
  </si>
  <si>
    <t>M M RIZVI</t>
  </si>
  <si>
    <r>
      <t xml:space="preserve">No favourable treatment in any form has been accorded to the related parties.                                                                                                                                          </t>
    </r>
    <r>
      <rPr>
        <b/>
        <sz val="11"/>
        <color theme="1"/>
        <rFont val="Calibri"/>
        <family val="2"/>
        <scheme val="minor"/>
      </rPr>
      <t xml:space="preserve">* Existing client with satisfactory CRIB conducted. </t>
    </r>
    <r>
      <rPr>
        <b/>
        <sz val="11"/>
        <rFont val="Calibri"/>
        <family val="2"/>
        <scheme val="minor"/>
      </rPr>
      <t xml:space="preserve"> </t>
    </r>
    <r>
      <rPr>
        <b/>
        <sz val="11"/>
        <color rgb="FFFF0000"/>
        <rFont val="Calibri"/>
        <family val="2"/>
        <scheme val="minor"/>
      </rPr>
      <t xml:space="preserve">
</t>
    </r>
    <r>
      <rPr>
        <b/>
        <sz val="11"/>
        <rFont val="Calibri"/>
        <family val="2"/>
        <scheme val="minor"/>
      </rPr>
      <t xml:space="preserve">* </t>
    </r>
    <r>
      <rPr>
        <b/>
        <sz val="11"/>
        <color theme="1"/>
        <rFont val="Calibri"/>
        <family val="2"/>
        <scheme val="minor"/>
      </rPr>
      <t xml:space="preserve">Exposure 70% on MKV 
• Well established entrepreneurs with Integrity, repayment capacity and reputation held in the market.
• In view of the satisfactory business operations &amp; sound financial means.
• Intergrity of Borrower.  
• Satisfactory Past Track records with ABL
• Vedry good refrence obtained. </t>
    </r>
  </si>
  <si>
    <r>
      <rPr>
        <b/>
        <sz val="11"/>
        <color theme="1"/>
        <rFont val="Calibri"/>
        <family val="2"/>
        <scheme val="minor"/>
      </rPr>
      <t>CRM / CRO</t>
    </r>
    <r>
      <rPr>
        <sz val="11"/>
        <color theme="1"/>
        <rFont val="Calibri"/>
        <family val="2"/>
        <scheme val="minor"/>
      </rPr>
      <t xml:space="preserve">
Date</t>
    </r>
  </si>
  <si>
    <r>
      <rPr>
        <b/>
        <sz val="11"/>
        <color theme="1"/>
        <rFont val="Calibri"/>
        <family val="2"/>
        <scheme val="minor"/>
      </rPr>
      <t>Branch Manager</t>
    </r>
    <r>
      <rPr>
        <sz val="11"/>
        <color theme="1"/>
        <rFont val="Calibri"/>
        <family val="2"/>
        <scheme val="minor"/>
      </rPr>
      <t xml:space="preserve">
Date</t>
    </r>
  </si>
  <si>
    <r>
      <t xml:space="preserve">CRIB  indicates satisfactory conduct. H/E it could be observed that on 1 facility the repayments have been delayed since Dec 2019 which had ocurred as a result of the Easter attacks from which point onwards businesses had been facing difficulties and curfews being imposed in Colombo. The delay had been continuing throughout this year owing to the impact caused by the pandemic. Even amidst th difficulties the client has been repaying the facilities in a regular manner. One of the guaranteed facilities reflects delays which too was as a result of Easter attacks &amp; lockdowns. H/E that too has been regularised later. Apart from the above no other adverse remarks could be observed in the CRIB Report
</t>
    </r>
    <r>
      <rPr>
        <b/>
        <sz val="11"/>
        <color theme="1"/>
        <rFont val="Calibri"/>
        <family val="2"/>
        <scheme val="minor"/>
      </rPr>
      <t xml:space="preserve">Business CRIB – Satisfactory 
</t>
    </r>
    <r>
      <rPr>
        <sz val="11"/>
        <color theme="1"/>
        <rFont val="Calibri"/>
        <family val="2"/>
        <scheme val="minor"/>
      </rPr>
      <t xml:space="preserve">                                                                                                                                                                                                                                                                                                                                                   
</t>
    </r>
  </si>
  <si>
    <r>
      <t>* Mortgage over the Vehicle</t>
    </r>
    <r>
      <rPr>
        <sz val="11"/>
        <color rgb="FFFF0000"/>
        <rFont val="Calibri"/>
        <family val="2"/>
        <scheme val="minor"/>
      </rPr>
      <t xml:space="preserve">
</t>
    </r>
    <r>
      <rPr>
        <sz val="11"/>
        <color theme="1"/>
        <rFont val="Calibri"/>
        <family val="2"/>
        <scheme val="minor"/>
      </rPr>
      <t>* Takaful Cover for Rs.OMV Rs. 6.0 Mio
* Guarantors not Proposed</t>
    </r>
  </si>
  <si>
    <t>9.75% (BM Discretion ) - Annual Floating (Pricing Benchmarked to Weekly AWPLR + 1.59 % with a Cap of 14.00% &amp; Floor of 9.75%)</t>
  </si>
  <si>
    <t>Dual Purpose Vehicle</t>
  </si>
  <si>
    <t xml:space="preserve">SUZUKI EBD-DA17V EVERY </t>
  </si>
  <si>
    <t>Petrol</t>
  </si>
  <si>
    <t>Serandib Royal Bath Fittings - TBO</t>
  </si>
  <si>
    <r>
      <t xml:space="preserve">* Client is engaged in the Bathware items business
* Accounts are primarily operated with Com Bank PLC. Only 60% cash flows are routed through the Banking system
* Total Monthly AVG Business cash flows - 6.38 Mn
* Based on the industry 15% considered as Net Profit = Rs. 6.38 Mn @ 15%    = Rs. 957,000.00
</t>
    </r>
    <r>
      <rPr>
        <u/>
        <sz val="11"/>
        <color theme="1"/>
        <rFont val="Calibri"/>
        <family val="2"/>
        <scheme val="minor"/>
      </rPr>
      <t xml:space="preserve">Existing Commitment
</t>
    </r>
    <r>
      <rPr>
        <sz val="11"/>
        <color theme="1"/>
        <rFont val="Calibri"/>
        <family val="2"/>
        <scheme val="minor"/>
      </rPr>
      <t xml:space="preserve">* CRCD - Rs. 213,552.00 * 5%    - 10,677.00
* Rs. 4 Mn                                       - 152,762.00
* Rs. 8.5 Mn                                   - 272,004.00
</t>
    </r>
    <r>
      <rPr>
        <b/>
        <u/>
        <sz val="11"/>
        <color theme="1"/>
        <rFont val="Calibri"/>
        <family val="2"/>
        <scheme val="minor"/>
      </rPr>
      <t/>
    </r>
  </si>
  <si>
    <t>RefNo</t>
  </si>
  <si>
    <t>SupName</t>
  </si>
  <si>
    <t>SupAddress</t>
  </si>
  <si>
    <t>CstName</t>
  </si>
  <si>
    <t>CstAddressOne</t>
  </si>
  <si>
    <t>CstAddressTwo</t>
  </si>
  <si>
    <t>VehicleMade</t>
  </si>
  <si>
    <t>VehicleNum</t>
  </si>
  <si>
    <t>VehicleModel</t>
  </si>
  <si>
    <t>ChasNo</t>
  </si>
  <si>
    <t>EngNo</t>
  </si>
  <si>
    <t>YOM</t>
  </si>
  <si>
    <t>DmSum</t>
  </si>
  <si>
    <t>RSUM</t>
  </si>
  <si>
    <t>SetDate</t>
  </si>
  <si>
    <t xml:space="preserve">Mr. Mohideen Mohamed Risvi on behalf of Serandib Royal Bath Fittings / </t>
  </si>
  <si>
    <t>aa</t>
  </si>
  <si>
    <t>test cust</t>
  </si>
  <si>
    <t>Contact No :  999999</t>
  </si>
  <si>
    <t>, Messenger Street, Colombo -12</t>
  </si>
  <si>
    <t>ghffhg</t>
  </si>
  <si>
    <t>test supp</t>
  </si>
  <si>
    <t>Dematagoda Road, Colombo 09.</t>
  </si>
  <si>
    <t>December 28,2021</t>
  </si>
  <si>
    <t>04,Test Road,</t>
  </si>
  <si>
    <t>Colombo –04</t>
  </si>
  <si>
    <t>swift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</si>
</sst>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809]dd\ mmmm\ yyyy;@"/>
  </numFmts>
  <fonts count="1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sz val="11"/>
      <color rgb="FFFF0000"/>
      <name val="Calibri"/>
      <family val="2"/>
      <scheme val="minor"/>
    </font>
    <font>
      <b/>
      <sz val="11"/>
      <name val="Calibri"/>
      <family val="2"/>
      <scheme val="minor"/>
    </font>
    <font>
      <b/>
      <sz val="11"/>
      <color theme="0"/>
      <name val="Calibri"/>
      <family val="2"/>
      <scheme val="minor"/>
    </font>
    <font>
      <sz val="11"/>
      <color rgb="FFFF0000"/>
      <name val="Calibri"/>
      <family val="2"/>
      <scheme val="minor"/>
    </font>
    <font>
      <b/>
      <i/>
      <sz val="11"/>
      <color theme="1"/>
      <name val="Calibri"/>
      <family val="2"/>
      <scheme val="minor"/>
    </font>
    <font>
      <i/>
      <sz val="11"/>
      <color theme="1"/>
      <name val="Calibri"/>
      <family val="2"/>
      <scheme val="minor"/>
    </font>
    <font>
      <i/>
      <sz val="11"/>
      <color rgb="FFFF0000"/>
      <name val="Calibri"/>
      <family val="2"/>
      <scheme val="minor"/>
    </font>
    <font>
      <b/>
      <u/>
      <sz val="11"/>
      <color theme="1"/>
      <name val="Calibri"/>
      <family val="2"/>
      <scheme val="minor"/>
    </font>
    <font>
      <b/>
      <sz val="11"/>
      <color theme="1"/>
      <name val="Times New Roman"/>
      <family val="1"/>
    </font>
    <font>
      <sz val="11"/>
      <color theme="1"/>
      <name val="Times New Roman"/>
      <family val="1"/>
    </font>
    <font>
      <i/>
      <sz val="11"/>
      <color rgb="FFC00000"/>
      <name val="Calibri"/>
      <family val="2"/>
      <scheme val="minor"/>
    </font>
    <font>
      <u/>
      <sz val="11"/>
      <color theme="1"/>
      <name val="Calibri"/>
      <family val="2"/>
      <scheme val="minor"/>
    </font>
    <font>
      <b/>
      <sz val="9"/>
      <color rgb="FF000000"/>
      <name val="Docs-Calibri"/>
    </font>
    <font>
      <sz val="11"/>
      <color rgb="FF000000"/>
      <name val="Garamond"/>
      <family val="1"/>
    </font>
    <font>
      <sz val="12"/>
      <color theme="1"/>
      <name val="Arial"/>
      <family val="2"/>
    </font>
  </fonts>
  <fills count="4">
    <fill>
      <patternFill patternType="none"/>
    </fill>
    <fill>
      <patternFill patternType="gray125"/>
    </fill>
    <fill>
      <patternFill patternType="solid">
        <fgColor theme="0" tint="-0.249977111117893"/>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s>
  <cellStyleXfs count="5">
    <xf numFmtId="0" fontId="0" fillId="0" borderId="0"/>
    <xf numFmtId="43" fontId="1" fillId="0" borderId="0" applyFont="0" applyFill="0" applyBorder="0" applyAlignment="0" applyProtection="0"/>
    <xf numFmtId="0" fontId="2" fillId="0" borderId="0"/>
    <xf numFmtId="43" fontId="2" fillId="0" borderId="0" applyFont="0" applyFill="0" applyBorder="0" applyAlignment="0" applyProtection="0"/>
    <xf numFmtId="9" fontId="1" fillId="0" borderId="0" applyFont="0" applyFill="0" applyBorder="0" applyAlignment="0" applyProtection="0"/>
  </cellStyleXfs>
  <cellXfs count="359">
    <xf numFmtId="0" fontId="0" fillId="0" borderId="0" xfId="0"/>
    <xf numFmtId="4" fontId="0" fillId="0" borderId="0" xfId="0" applyNumberFormat="1"/>
    <xf numFmtId="0" fontId="3" fillId="3" borderId="0" xfId="0" applyFont="1" applyFill="1" applyBorder="1" applyAlignment="1" applyProtection="1">
      <alignment horizontal="left" vertical="top" wrapText="1"/>
      <protection locked="0"/>
    </xf>
    <xf numFmtId="0" fontId="0" fillId="3" borderId="0" xfId="0" applyFont="1" applyFill="1" applyAlignment="1">
      <alignment vertical="center"/>
    </xf>
    <xf numFmtId="164" fontId="0" fillId="3" borderId="1" xfId="0" applyNumberFormat="1" applyFont="1" applyFill="1" applyBorder="1" applyAlignment="1" applyProtection="1">
      <alignment horizontal="center" vertical="center"/>
      <protection locked="0"/>
    </xf>
    <xf numFmtId="0" fontId="3" fillId="3" borderId="1" xfId="0" applyFont="1" applyFill="1" applyBorder="1" applyAlignment="1" applyProtection="1">
      <alignment horizontal="left" vertical="center"/>
    </xf>
    <xf numFmtId="0" fontId="3" fillId="3" borderId="25" xfId="0" applyFont="1" applyFill="1" applyBorder="1" applyAlignment="1" applyProtection="1">
      <alignment vertical="center"/>
    </xf>
    <xf numFmtId="0" fontId="0" fillId="3" borderId="1" xfId="0" applyFont="1" applyFill="1" applyBorder="1" applyAlignment="1" applyProtection="1">
      <alignment horizontal="center" vertical="center"/>
      <protection locked="0"/>
    </xf>
    <xf numFmtId="0" fontId="3" fillId="3" borderId="1" xfId="0" applyFont="1" applyFill="1" applyBorder="1" applyAlignment="1" applyProtection="1">
      <alignment vertical="center"/>
    </xf>
    <xf numFmtId="0" fontId="0" fillId="3" borderId="26" xfId="0" applyFont="1" applyFill="1" applyBorder="1" applyAlignment="1" applyProtection="1">
      <alignment vertical="center"/>
      <protection locked="0"/>
    </xf>
    <xf numFmtId="0" fontId="0" fillId="3" borderId="0" xfId="0" applyFont="1" applyFill="1" applyBorder="1" applyAlignment="1" applyProtection="1">
      <alignment vertical="center"/>
    </xf>
    <xf numFmtId="0" fontId="3" fillId="3" borderId="27" xfId="0" applyFont="1" applyFill="1" applyBorder="1" applyAlignment="1" applyProtection="1">
      <alignment horizontal="left" vertical="center"/>
    </xf>
    <xf numFmtId="0" fontId="0" fillId="3" borderId="1" xfId="0" applyFont="1" applyFill="1" applyBorder="1" applyAlignment="1" applyProtection="1">
      <alignment horizontal="center" vertical="center"/>
    </xf>
    <xf numFmtId="0" fontId="3" fillId="3" borderId="27" xfId="0" applyFont="1" applyFill="1" applyBorder="1" applyAlignment="1" applyProtection="1">
      <alignment horizontal="left" vertical="center"/>
      <protection locked="0"/>
    </xf>
    <xf numFmtId="0" fontId="3" fillId="3" borderId="1" xfId="0" applyFont="1" applyFill="1" applyBorder="1" applyAlignment="1" applyProtection="1">
      <alignment vertical="center" wrapText="1"/>
    </xf>
    <xf numFmtId="0" fontId="0" fillId="3" borderId="0" xfId="0" applyFont="1" applyFill="1" applyBorder="1" applyAlignment="1" applyProtection="1">
      <alignment horizontal="center" vertical="center"/>
    </xf>
    <xf numFmtId="0" fontId="3" fillId="3" borderId="0" xfId="0" applyFont="1" applyFill="1" applyBorder="1" applyAlignment="1" applyProtection="1">
      <alignment vertical="center"/>
    </xf>
    <xf numFmtId="0" fontId="3" fillId="3" borderId="17" xfId="0" applyFont="1" applyFill="1" applyBorder="1" applyAlignment="1" applyProtection="1">
      <alignment horizontal="left" vertical="center"/>
    </xf>
    <xf numFmtId="0" fontId="0" fillId="3" borderId="17" xfId="0" applyFont="1" applyFill="1" applyBorder="1" applyAlignment="1" applyProtection="1">
      <alignment horizontal="left" vertical="center"/>
      <protection locked="0"/>
    </xf>
    <xf numFmtId="0" fontId="0" fillId="3" borderId="27"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3" borderId="16" xfId="0" applyFont="1" applyFill="1" applyBorder="1" applyAlignment="1" applyProtection="1">
      <alignment vertical="center"/>
    </xf>
    <xf numFmtId="0" fontId="0" fillId="3" borderId="17" xfId="0" applyFont="1" applyFill="1" applyBorder="1" applyAlignment="1" applyProtection="1">
      <alignment horizontal="left" vertical="center"/>
    </xf>
    <xf numFmtId="0" fontId="0" fillId="3" borderId="3" xfId="0" applyFont="1" applyFill="1" applyBorder="1" applyAlignment="1" applyProtection="1">
      <alignment vertical="center"/>
      <protection locked="0"/>
    </xf>
    <xf numFmtId="0" fontId="0" fillId="3" borderId="30" xfId="0" applyFont="1" applyFill="1" applyBorder="1" applyAlignment="1" applyProtection="1">
      <alignment vertical="center"/>
      <protection locked="0"/>
    </xf>
    <xf numFmtId="1" fontId="0" fillId="3" borderId="1" xfId="0" applyNumberFormat="1" applyFont="1" applyFill="1" applyBorder="1" applyAlignment="1" applyProtection="1">
      <alignment horizontal="left" vertical="center"/>
      <protection locked="0"/>
    </xf>
    <xf numFmtId="0" fontId="3" fillId="3" borderId="0" xfId="0" applyFont="1" applyFill="1" applyBorder="1" applyAlignment="1" applyProtection="1">
      <alignment horizontal="center" vertical="center"/>
    </xf>
    <xf numFmtId="0" fontId="3" fillId="3" borderId="27" xfId="0" applyFont="1" applyFill="1" applyBorder="1" applyAlignment="1" applyProtection="1">
      <alignment vertical="center" wrapText="1"/>
    </xf>
    <xf numFmtId="0" fontId="3" fillId="3" borderId="27" xfId="0" applyFont="1" applyFill="1" applyBorder="1" applyAlignment="1" applyProtection="1">
      <alignment vertical="center"/>
    </xf>
    <xf numFmtId="0" fontId="0" fillId="3" borderId="30" xfId="0" applyFont="1" applyFill="1" applyBorder="1" applyAlignment="1" applyProtection="1">
      <alignment horizontal="left" vertical="center"/>
    </xf>
    <xf numFmtId="0" fontId="3" fillId="3" borderId="1"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0" fillId="3" borderId="32" xfId="0" applyFont="1" applyFill="1" applyBorder="1" applyAlignment="1" applyProtection="1">
      <alignment horizontal="left" vertical="center"/>
      <protection locked="0"/>
    </xf>
    <xf numFmtId="0" fontId="0" fillId="3" borderId="9" xfId="0" applyFont="1" applyFill="1" applyBorder="1" applyAlignment="1" applyProtection="1">
      <alignment horizontal="center" vertical="center"/>
      <protection locked="0"/>
    </xf>
    <xf numFmtId="3" fontId="0" fillId="3" borderId="1" xfId="0" applyNumberFormat="1" applyFont="1" applyFill="1" applyBorder="1" applyAlignment="1" applyProtection="1">
      <alignment horizontal="right" vertical="center"/>
      <protection locked="0"/>
    </xf>
    <xf numFmtId="3" fontId="0" fillId="3" borderId="10" xfId="0" applyNumberFormat="1" applyFont="1" applyFill="1" applyBorder="1" applyAlignment="1" applyProtection="1">
      <alignment horizontal="right" vertical="center"/>
      <protection locked="0"/>
    </xf>
    <xf numFmtId="3" fontId="0" fillId="3" borderId="31" xfId="0" applyNumberFormat="1" applyFont="1" applyFill="1" applyBorder="1" applyAlignment="1" applyProtection="1">
      <alignment horizontal="right" vertical="center"/>
      <protection locked="0"/>
    </xf>
    <xf numFmtId="0" fontId="0" fillId="3" borderId="33" xfId="0" applyFont="1" applyFill="1" applyBorder="1" applyAlignment="1" applyProtection="1">
      <alignment horizontal="left" vertical="center"/>
      <protection locked="0"/>
    </xf>
    <xf numFmtId="0" fontId="0" fillId="3" borderId="6" xfId="0" applyFont="1" applyFill="1" applyBorder="1" applyAlignment="1" applyProtection="1">
      <alignment horizontal="center" vertical="center"/>
      <protection locked="0"/>
    </xf>
    <xf numFmtId="3" fontId="0" fillId="3" borderId="14" xfId="0" applyNumberFormat="1" applyFont="1" applyFill="1" applyBorder="1" applyAlignment="1" applyProtection="1">
      <alignment horizontal="right" vertical="center"/>
      <protection locked="0"/>
    </xf>
    <xf numFmtId="3" fontId="0" fillId="3" borderId="36" xfId="4" applyNumberFormat="1" applyFont="1" applyFill="1" applyBorder="1" applyAlignment="1" applyProtection="1">
      <alignment horizontal="right" vertical="center"/>
      <protection locked="0"/>
    </xf>
    <xf numFmtId="3" fontId="0" fillId="3" borderId="21" xfId="0" applyNumberFormat="1" applyFont="1" applyFill="1" applyBorder="1" applyAlignment="1" applyProtection="1">
      <alignment horizontal="right" vertical="center"/>
      <protection locked="0"/>
    </xf>
    <xf numFmtId="3" fontId="0" fillId="3" borderId="35" xfId="0" applyNumberFormat="1" applyFont="1" applyFill="1" applyBorder="1" applyAlignment="1" applyProtection="1">
      <alignment horizontal="right" vertical="center"/>
      <protection locked="0"/>
    </xf>
    <xf numFmtId="4" fontId="0" fillId="3" borderId="0" xfId="0" applyNumberFormat="1" applyFont="1" applyFill="1" applyBorder="1" applyAlignment="1" applyProtection="1">
      <alignment vertical="center"/>
    </xf>
    <xf numFmtId="0" fontId="0" fillId="3" borderId="17" xfId="0" applyFont="1" applyFill="1" applyBorder="1" applyAlignment="1" applyProtection="1">
      <alignment vertical="center"/>
    </xf>
    <xf numFmtId="0" fontId="3" fillId="2" borderId="1" xfId="0" applyFont="1" applyFill="1" applyBorder="1" applyAlignment="1" applyProtection="1">
      <alignment vertical="center" wrapText="1"/>
    </xf>
    <xf numFmtId="4" fontId="0" fillId="3" borderId="1" xfId="0" applyNumberFormat="1" applyFont="1" applyFill="1" applyBorder="1" applyAlignment="1" applyProtection="1">
      <alignment vertical="center"/>
      <protection locked="0"/>
    </xf>
    <xf numFmtId="0" fontId="0" fillId="3" borderId="7" xfId="0" applyFont="1" applyFill="1" applyBorder="1" applyAlignment="1">
      <alignment vertical="center"/>
    </xf>
    <xf numFmtId="0" fontId="3" fillId="3" borderId="2" xfId="0" applyFont="1" applyFill="1" applyBorder="1" applyAlignment="1">
      <alignment vertical="center"/>
    </xf>
    <xf numFmtId="4" fontId="0" fillId="2" borderId="1" xfId="0" applyNumberFormat="1" applyFont="1" applyFill="1" applyBorder="1" applyAlignment="1" applyProtection="1">
      <alignment vertical="center"/>
    </xf>
    <xf numFmtId="10" fontId="0" fillId="3" borderId="1" xfId="4" applyNumberFormat="1" applyFont="1" applyFill="1" applyBorder="1" applyAlignment="1" applyProtection="1">
      <alignment horizontal="right" vertical="center"/>
    </xf>
    <xf numFmtId="10" fontId="0" fillId="2" borderId="1" xfId="4" applyNumberFormat="1" applyFont="1" applyFill="1" applyBorder="1" applyAlignment="1" applyProtection="1">
      <alignment horizontal="right" vertical="center"/>
    </xf>
    <xf numFmtId="0" fontId="3" fillId="0" borderId="2" xfId="0" applyFont="1" applyFill="1" applyBorder="1" applyAlignment="1">
      <alignment vertical="center"/>
    </xf>
    <xf numFmtId="0" fontId="3" fillId="2" borderId="2" xfId="0" applyFont="1" applyFill="1" applyBorder="1" applyAlignment="1">
      <alignment vertical="center"/>
    </xf>
    <xf numFmtId="0" fontId="0" fillId="3" borderId="15" xfId="0" applyFont="1" applyFill="1" applyBorder="1" applyAlignment="1">
      <alignment vertical="center"/>
    </xf>
    <xf numFmtId="0" fontId="0" fillId="3" borderId="0" xfId="0" applyFont="1" applyFill="1" applyBorder="1" applyAlignment="1">
      <alignment vertical="center"/>
    </xf>
    <xf numFmtId="0" fontId="0" fillId="3" borderId="16" xfId="0" applyFont="1" applyFill="1" applyBorder="1" applyAlignment="1">
      <alignment vertical="center"/>
    </xf>
    <xf numFmtId="0" fontId="0" fillId="3" borderId="11" xfId="0" applyFont="1" applyFill="1" applyBorder="1" applyAlignment="1">
      <alignment vertical="center"/>
    </xf>
    <xf numFmtId="0" fontId="0" fillId="3" borderId="31" xfId="0" applyFont="1" applyFill="1" applyBorder="1" applyAlignment="1">
      <alignment vertical="center"/>
    </xf>
    <xf numFmtId="4" fontId="0" fillId="2" borderId="1" xfId="0" applyNumberFormat="1" applyFont="1" applyFill="1" applyBorder="1" applyAlignment="1">
      <alignment vertical="center"/>
    </xf>
    <xf numFmtId="0" fontId="3" fillId="2" borderId="1" xfId="0" applyFont="1" applyFill="1" applyBorder="1" applyAlignment="1">
      <alignment vertical="center"/>
    </xf>
    <xf numFmtId="2" fontId="0" fillId="2" borderId="1" xfId="0" applyNumberFormat="1" applyFont="1" applyFill="1" applyBorder="1" applyAlignment="1" applyProtection="1">
      <alignment vertical="center"/>
      <protection locked="0"/>
    </xf>
    <xf numFmtId="4" fontId="0" fillId="2" borderId="1" xfId="0" applyNumberFormat="1" applyFont="1" applyFill="1" applyBorder="1" applyAlignment="1" applyProtection="1">
      <alignment vertical="center"/>
      <protection locked="0"/>
    </xf>
    <xf numFmtId="0" fontId="0" fillId="3" borderId="17" xfId="0" applyFont="1" applyFill="1" applyBorder="1" applyAlignment="1">
      <alignment vertical="center"/>
    </xf>
    <xf numFmtId="0" fontId="0" fillId="3" borderId="25" xfId="0" applyFont="1" applyFill="1" applyBorder="1" applyAlignment="1">
      <alignment vertical="center"/>
    </xf>
    <xf numFmtId="0" fontId="0" fillId="3" borderId="3" xfId="0" applyFont="1" applyFill="1" applyBorder="1" applyAlignment="1">
      <alignment vertical="center"/>
    </xf>
    <xf numFmtId="0" fontId="3" fillId="2" borderId="4" xfId="0" applyFont="1" applyFill="1" applyBorder="1" applyAlignment="1">
      <alignment vertical="center" wrapText="1"/>
    </xf>
    <xf numFmtId="4" fontId="0" fillId="2" borderId="26" xfId="0" applyNumberFormat="1" applyFont="1" applyFill="1" applyBorder="1" applyAlignment="1">
      <alignment vertical="center"/>
    </xf>
    <xf numFmtId="0" fontId="3" fillId="2" borderId="4" xfId="0" applyFont="1" applyFill="1" applyBorder="1" applyAlignment="1">
      <alignment vertical="center"/>
    </xf>
    <xf numFmtId="43" fontId="0" fillId="2" borderId="26" xfId="0" applyNumberFormat="1" applyFont="1" applyFill="1" applyBorder="1" applyAlignment="1">
      <alignment vertical="center"/>
    </xf>
    <xf numFmtId="0" fontId="0" fillId="3" borderId="34" xfId="0" applyFont="1" applyFill="1" applyBorder="1" applyAlignment="1">
      <alignment vertical="center" wrapText="1"/>
    </xf>
    <xf numFmtId="0" fontId="0" fillId="3" borderId="11" xfId="0" applyFont="1" applyFill="1" applyBorder="1" applyAlignment="1">
      <alignment horizontal="left" wrapText="1"/>
    </xf>
    <xf numFmtId="0" fontId="0" fillId="3" borderId="11" xfId="0" applyFont="1" applyFill="1" applyBorder="1" applyAlignment="1">
      <alignment horizontal="left"/>
    </xf>
    <xf numFmtId="0" fontId="0" fillId="3" borderId="10" xfId="0" applyFont="1" applyFill="1" applyBorder="1" applyAlignment="1">
      <alignment horizontal="left" wrapText="1"/>
    </xf>
    <xf numFmtId="0" fontId="0" fillId="2" borderId="26" xfId="0" applyFont="1" applyFill="1" applyBorder="1" applyAlignment="1" applyProtection="1">
      <alignment vertical="center"/>
      <protection locked="0"/>
    </xf>
    <xf numFmtId="0" fontId="0" fillId="3" borderId="13" xfId="0" applyFont="1" applyFill="1" applyBorder="1" applyAlignment="1"/>
    <xf numFmtId="0" fontId="0" fillId="3" borderId="13" xfId="0" applyFont="1" applyFill="1" applyBorder="1" applyAlignment="1">
      <alignment vertical="center"/>
    </xf>
    <xf numFmtId="0" fontId="0" fillId="3" borderId="12" xfId="0" applyFont="1" applyFill="1" applyBorder="1" applyAlignment="1"/>
    <xf numFmtId="0" fontId="0" fillId="3" borderId="0" xfId="0" applyFont="1" applyFill="1" applyBorder="1" applyAlignment="1"/>
    <xf numFmtId="0" fontId="0" fillId="3" borderId="15" xfId="0" applyFont="1" applyFill="1" applyBorder="1" applyAlignment="1"/>
    <xf numFmtId="0" fontId="0" fillId="3" borderId="34" xfId="0" applyFont="1" applyFill="1" applyBorder="1" applyAlignment="1">
      <alignment horizontal="center" vertical="center" wrapText="1"/>
    </xf>
    <xf numFmtId="0" fontId="0" fillId="3" borderId="11" xfId="0" applyFont="1" applyFill="1" applyBorder="1" applyAlignment="1">
      <alignment horizontal="center" vertical="center"/>
    </xf>
    <xf numFmtId="0" fontId="0" fillId="3" borderId="10" xfId="0" applyFont="1" applyFill="1" applyBorder="1" applyAlignment="1">
      <alignment horizontal="center" vertical="center"/>
    </xf>
    <xf numFmtId="0" fontId="0" fillId="3" borderId="18" xfId="0" applyFont="1" applyFill="1" applyBorder="1" applyAlignment="1">
      <alignment vertical="center"/>
    </xf>
    <xf numFmtId="0" fontId="0" fillId="3" borderId="19" xfId="0" applyFont="1" applyFill="1" applyBorder="1" applyAlignment="1">
      <alignment vertical="center"/>
    </xf>
    <xf numFmtId="0" fontId="0" fillId="3" borderId="20" xfId="0" applyFont="1" applyFill="1" applyBorder="1" applyAlignment="1">
      <alignment vertical="center"/>
    </xf>
    <xf numFmtId="0" fontId="3" fillId="3" borderId="16" xfId="0" applyFont="1" applyFill="1" applyBorder="1" applyAlignment="1" applyProtection="1">
      <alignment horizontal="left" vertical="top" wrapText="1"/>
    </xf>
    <xf numFmtId="0" fontId="3" fillId="3" borderId="0" xfId="0" applyFont="1" applyFill="1" applyBorder="1" applyAlignment="1" applyProtection="1">
      <alignment horizontal="left" vertical="top" wrapText="1"/>
    </xf>
    <xf numFmtId="43" fontId="0" fillId="3" borderId="0" xfId="1" applyFont="1" applyFill="1" applyBorder="1" applyAlignment="1" applyProtection="1">
      <alignment horizontal="right" vertical="top"/>
    </xf>
    <xf numFmtId="0" fontId="0" fillId="3" borderId="11" xfId="0"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3" fillId="3" borderId="27" xfId="0" applyFont="1" applyFill="1" applyBorder="1" applyAlignment="1" applyProtection="1">
      <alignment vertical="top"/>
      <protection locked="0"/>
    </xf>
    <xf numFmtId="0" fontId="3" fillId="3" borderId="27" xfId="0" applyFont="1" applyFill="1" applyBorder="1" applyAlignment="1" applyProtection="1">
      <alignment horizontal="center" vertical="center" wrapText="1"/>
    </xf>
    <xf numFmtId="0" fontId="0" fillId="3" borderId="27" xfId="0" applyFont="1" applyFill="1" applyBorder="1" applyAlignment="1" applyProtection="1">
      <alignment horizontal="left" vertical="top" wrapText="1"/>
      <protection locked="0"/>
    </xf>
    <xf numFmtId="0" fontId="0" fillId="3" borderId="1" xfId="0" applyFont="1" applyFill="1" applyBorder="1" applyAlignment="1" applyProtection="1">
      <alignment horizontal="left" vertical="top" wrapText="1"/>
      <protection locked="0"/>
    </xf>
    <xf numFmtId="1" fontId="0" fillId="3" borderId="2" xfId="1" applyNumberFormat="1" applyFont="1" applyFill="1" applyBorder="1" applyAlignment="1" applyProtection="1">
      <alignment horizontal="center" vertical="top"/>
      <protection locked="0"/>
    </xf>
    <xf numFmtId="4" fontId="0" fillId="3" borderId="4" xfId="1" applyNumberFormat="1" applyFont="1" applyFill="1" applyBorder="1" applyAlignment="1" applyProtection="1">
      <alignment vertical="top"/>
      <protection locked="0"/>
    </xf>
    <xf numFmtId="4" fontId="0" fillId="3" borderId="1" xfId="1" applyNumberFormat="1" applyFont="1" applyFill="1" applyBorder="1" applyAlignment="1" applyProtection="1">
      <alignment vertical="top"/>
      <protection locked="0"/>
    </xf>
    <xf numFmtId="4" fontId="0" fillId="3" borderId="26" xfId="1" applyNumberFormat="1" applyFont="1" applyFill="1" applyBorder="1" applyAlignment="1" applyProtection="1">
      <alignment vertical="top"/>
      <protection locked="0"/>
    </xf>
    <xf numFmtId="0" fontId="0" fillId="3" borderId="4" xfId="0" applyFont="1" applyFill="1" applyBorder="1" applyAlignment="1" applyProtection="1">
      <alignment vertical="center"/>
    </xf>
    <xf numFmtId="4" fontId="3" fillId="3" borderId="1" xfId="1" applyNumberFormat="1" applyFont="1" applyFill="1" applyBorder="1" applyAlignment="1" applyProtection="1">
      <alignment vertical="top"/>
    </xf>
    <xf numFmtId="4" fontId="3" fillId="3" borderId="26" xfId="1" applyNumberFormat="1" applyFont="1" applyFill="1" applyBorder="1" applyAlignment="1" applyProtection="1">
      <alignment horizontal="right" vertical="top"/>
    </xf>
    <xf numFmtId="0" fontId="0" fillId="3" borderId="4" xfId="0" applyFont="1" applyFill="1" applyBorder="1" applyAlignment="1">
      <alignment vertical="center"/>
    </xf>
    <xf numFmtId="0" fontId="3" fillId="3" borderId="16" xfId="0" applyFont="1" applyFill="1" applyBorder="1" applyAlignment="1" applyProtection="1">
      <alignment vertical="center"/>
    </xf>
    <xf numFmtId="0" fontId="3" fillId="3" borderId="18" xfId="0" applyFont="1" applyFill="1" applyBorder="1" applyAlignment="1" applyProtection="1">
      <alignment wrapText="1"/>
      <protection locked="0"/>
    </xf>
    <xf numFmtId="0" fontId="3" fillId="3" borderId="19" xfId="0" applyFont="1" applyFill="1" applyBorder="1" applyAlignment="1" applyProtection="1">
      <alignment wrapText="1"/>
      <protection locked="0"/>
    </xf>
    <xf numFmtId="0" fontId="3" fillId="3" borderId="19" xfId="0" applyFont="1" applyFill="1" applyBorder="1" applyAlignment="1" applyProtection="1">
      <alignment vertical="top"/>
      <protection locked="0"/>
    </xf>
    <xf numFmtId="0" fontId="3" fillId="3" borderId="20" xfId="0" applyFont="1" applyFill="1" applyBorder="1" applyAlignment="1" applyProtection="1">
      <alignment vertical="top"/>
      <protection locked="0"/>
    </xf>
    <xf numFmtId="0" fontId="3" fillId="3" borderId="14" xfId="0" applyFont="1" applyFill="1" applyBorder="1" applyAlignment="1" applyProtection="1">
      <alignment horizontal="left" vertical="top"/>
    </xf>
    <xf numFmtId="0" fontId="3" fillId="3" borderId="13" xfId="0" applyFont="1" applyFill="1" applyBorder="1" applyAlignment="1" applyProtection="1">
      <alignment horizontal="left" vertical="top"/>
    </xf>
    <xf numFmtId="0" fontId="3" fillId="3" borderId="0" xfId="0" applyFont="1" applyFill="1" applyBorder="1" applyAlignment="1" applyProtection="1">
      <alignment horizontal="left" vertical="top"/>
    </xf>
    <xf numFmtId="0" fontId="3" fillId="3" borderId="12" xfId="0" applyFont="1" applyFill="1" applyBorder="1" applyAlignment="1" applyProtection="1">
      <alignment horizontal="left" vertical="top"/>
    </xf>
    <xf numFmtId="0" fontId="3" fillId="3" borderId="5" xfId="0" applyFont="1" applyFill="1" applyBorder="1" applyAlignment="1" applyProtection="1">
      <alignment horizontal="center" vertical="center"/>
    </xf>
    <xf numFmtId="0" fontId="3" fillId="3" borderId="15" xfId="0" applyFont="1" applyFill="1" applyBorder="1" applyAlignment="1" applyProtection="1">
      <alignment horizontal="center" vertical="center"/>
    </xf>
    <xf numFmtId="0" fontId="0" fillId="3" borderId="5" xfId="0" applyFont="1" applyFill="1" applyBorder="1" applyAlignment="1">
      <alignment vertical="center"/>
    </xf>
    <xf numFmtId="164" fontId="0" fillId="3" borderId="26" xfId="0" applyNumberFormat="1" applyFont="1" applyFill="1" applyBorder="1" applyAlignment="1" applyProtection="1">
      <alignment horizontal="center" vertical="center"/>
      <protection locked="0"/>
    </xf>
    <xf numFmtId="0" fontId="0" fillId="3" borderId="26" xfId="0" applyFont="1" applyFill="1" applyBorder="1" applyAlignment="1" applyProtection="1">
      <alignment horizontal="center" vertical="center"/>
      <protection locked="0"/>
    </xf>
    <xf numFmtId="0" fontId="0" fillId="3" borderId="26" xfId="0" applyFont="1" applyFill="1" applyBorder="1" applyAlignment="1" applyProtection="1">
      <alignment horizontal="center" vertical="center"/>
    </xf>
    <xf numFmtId="0" fontId="0" fillId="3" borderId="0" xfId="0" applyFont="1" applyFill="1" applyBorder="1" applyAlignment="1" applyProtection="1">
      <alignment horizontal="left" vertical="top" wrapText="1"/>
      <protection locked="0"/>
    </xf>
    <xf numFmtId="0" fontId="3" fillId="3" borderId="0" xfId="0" applyFont="1" applyFill="1" applyBorder="1" applyAlignment="1" applyProtection="1">
      <alignment horizontal="left" vertical="center"/>
    </xf>
    <xf numFmtId="0" fontId="0" fillId="0" borderId="0" xfId="0" applyFont="1" applyFill="1" applyAlignment="1">
      <alignment vertical="center"/>
    </xf>
    <xf numFmtId="0" fontId="3" fillId="2" borderId="0" xfId="0" applyFont="1" applyFill="1" applyBorder="1" applyAlignment="1" applyProtection="1">
      <alignment horizontal="left" vertical="center"/>
    </xf>
    <xf numFmtId="164" fontId="0" fillId="3" borderId="0" xfId="0" applyNumberFormat="1" applyFont="1" applyFill="1" applyBorder="1" applyAlignment="1" applyProtection="1">
      <alignment horizontal="left" vertical="center"/>
      <protection locked="0"/>
    </xf>
    <xf numFmtId="0" fontId="0" fillId="3" borderId="0" xfId="0" applyFont="1" applyFill="1" applyBorder="1" applyAlignment="1" applyProtection="1">
      <alignment vertical="center"/>
      <protection locked="0"/>
    </xf>
    <xf numFmtId="0" fontId="0" fillId="3" borderId="0" xfId="0" applyFont="1" applyFill="1" applyBorder="1" applyAlignment="1" applyProtection="1">
      <alignment horizontal="left" vertical="center"/>
      <protection locked="0"/>
    </xf>
    <xf numFmtId="0" fontId="0" fillId="3" borderId="0" xfId="0" applyFont="1" applyFill="1" applyAlignment="1">
      <alignment horizontal="center" vertical="center"/>
    </xf>
    <xf numFmtId="0" fontId="0" fillId="0" borderId="0" xfId="0" applyFont="1" applyFill="1" applyAlignment="1">
      <alignment horizontal="center" vertical="center"/>
    </xf>
    <xf numFmtId="0" fontId="0" fillId="3" borderId="0" xfId="0" applyFont="1" applyFill="1" applyBorder="1" applyAlignment="1" applyProtection="1">
      <alignment horizontal="left" vertical="center"/>
    </xf>
    <xf numFmtId="0" fontId="0" fillId="0" borderId="0" xfId="0" applyFont="1" applyFill="1" applyBorder="1" applyAlignment="1">
      <alignment vertical="center"/>
    </xf>
    <xf numFmtId="0" fontId="3" fillId="2" borderId="0" xfId="0" applyFont="1" applyFill="1" applyBorder="1" applyAlignment="1" applyProtection="1">
      <alignment horizontal="center" vertical="center"/>
    </xf>
    <xf numFmtId="0" fontId="12" fillId="3" borderId="0" xfId="0" applyFont="1" applyFill="1" applyBorder="1" applyAlignment="1" applyProtection="1">
      <alignment horizontal="center" vertical="center" wrapText="1"/>
    </xf>
    <xf numFmtId="4" fontId="13" fillId="3" borderId="0" xfId="0" applyNumberFormat="1" applyFont="1" applyFill="1" applyBorder="1" applyAlignment="1" applyProtection="1">
      <alignment horizontal="center" vertical="center"/>
      <protection locked="0"/>
    </xf>
    <xf numFmtId="2" fontId="13" fillId="3" borderId="0" xfId="4" applyNumberFormat="1" applyFont="1" applyFill="1" applyBorder="1" applyAlignment="1" applyProtection="1">
      <alignment horizontal="center" vertical="center"/>
      <protection locked="0"/>
    </xf>
    <xf numFmtId="0" fontId="3" fillId="3" borderId="0" xfId="0" applyFont="1" applyFill="1" applyBorder="1" applyAlignment="1" applyProtection="1">
      <alignment horizontal="left" vertical="center"/>
      <protection locked="0"/>
    </xf>
    <xf numFmtId="0" fontId="0" fillId="0" borderId="0" xfId="0" applyFont="1" applyFill="1" applyBorder="1" applyAlignment="1" applyProtection="1">
      <alignment horizontal="center" vertical="center"/>
      <protection locked="0"/>
    </xf>
    <xf numFmtId="0" fontId="0" fillId="2" borderId="0" xfId="0" applyFont="1" applyFill="1" applyBorder="1" applyAlignment="1" applyProtection="1">
      <alignment horizontal="left" vertical="center"/>
      <protection locked="0"/>
    </xf>
    <xf numFmtId="0" fontId="0" fillId="2" borderId="0" xfId="0" applyFont="1" applyFill="1" applyBorder="1" applyAlignment="1">
      <alignment horizontal="left" vertical="center"/>
    </xf>
    <xf numFmtId="4" fontId="0" fillId="2" borderId="0" xfId="0" applyNumberFormat="1" applyFont="1" applyFill="1" applyBorder="1" applyAlignment="1">
      <alignment horizontal="left" vertical="center"/>
    </xf>
    <xf numFmtId="0" fontId="0" fillId="2" borderId="0" xfId="0" applyFont="1" applyFill="1" applyBorder="1" applyAlignment="1" applyProtection="1">
      <alignment horizontal="center" vertical="center"/>
      <protection locked="0"/>
    </xf>
    <xf numFmtId="4" fontId="0" fillId="2" borderId="0" xfId="0" applyNumberFormat="1" applyFont="1" applyFill="1" applyBorder="1" applyAlignment="1">
      <alignment vertical="center"/>
    </xf>
    <xf numFmtId="43" fontId="0" fillId="2" borderId="0" xfId="0" applyNumberFormat="1" applyFont="1" applyFill="1" applyBorder="1" applyAlignment="1">
      <alignment vertical="center"/>
    </xf>
    <xf numFmtId="0" fontId="0" fillId="2" borderId="0" xfId="0" applyFont="1" applyFill="1" applyBorder="1" applyAlignment="1" applyProtection="1">
      <alignment vertical="center"/>
      <protection locked="0"/>
    </xf>
    <xf numFmtId="0" fontId="0" fillId="3" borderId="0" xfId="0" applyFont="1" applyFill="1" applyBorder="1" applyAlignment="1">
      <alignment horizontal="left" vertical="top" wrapText="1"/>
    </xf>
    <xf numFmtId="0" fontId="0" fillId="3" borderId="0" xfId="0" applyFont="1" applyFill="1" applyBorder="1" applyAlignment="1">
      <alignment horizontal="center" vertical="center"/>
    </xf>
    <xf numFmtId="0" fontId="8" fillId="0" borderId="0" xfId="0" applyFont="1" applyBorder="1" applyAlignment="1" applyProtection="1">
      <alignment horizontal="right" vertical="center"/>
    </xf>
    <xf numFmtId="0" fontId="8" fillId="3" borderId="0" xfId="0" applyFont="1" applyFill="1" applyBorder="1" applyAlignment="1" applyProtection="1">
      <alignment vertical="center"/>
    </xf>
    <xf numFmtId="0" fontId="3" fillId="3" borderId="0" xfId="0" applyFont="1" applyFill="1" applyBorder="1" applyAlignment="1" applyProtection="1">
      <alignment horizontal="center" vertical="center" wrapText="1"/>
    </xf>
    <xf numFmtId="0" fontId="0" fillId="3" borderId="0" xfId="0" applyFont="1" applyFill="1" applyBorder="1" applyAlignment="1" applyProtection="1">
      <alignment vertical="top" wrapText="1"/>
      <protection locked="0"/>
    </xf>
    <xf numFmtId="0" fontId="13" fillId="3" borderId="0" xfId="0" applyFont="1" applyFill="1" applyBorder="1" applyAlignment="1" applyProtection="1">
      <alignment horizontal="center" vertical="center"/>
    </xf>
    <xf numFmtId="0" fontId="3" fillId="3" borderId="0" xfId="0" applyFont="1" applyFill="1" applyBorder="1" applyAlignment="1" applyProtection="1">
      <alignment vertical="top"/>
    </xf>
    <xf numFmtId="0" fontId="0" fillId="0" borderId="0" xfId="0" applyFont="1" applyFill="1" applyBorder="1" applyAlignment="1">
      <alignment horizontal="center" vertical="center"/>
    </xf>
    <xf numFmtId="4" fontId="0" fillId="3" borderId="0" xfId="1" applyNumberFormat="1" applyFont="1" applyFill="1" applyBorder="1" applyAlignment="1" applyProtection="1">
      <alignment vertical="top"/>
      <protection locked="0"/>
    </xf>
    <xf numFmtId="4" fontId="0" fillId="3" borderId="0" xfId="1" applyNumberFormat="1" applyFont="1" applyFill="1" applyBorder="1" applyAlignment="1" applyProtection="1">
      <alignment horizontal="right" vertical="top"/>
      <protection locked="0"/>
    </xf>
    <xf numFmtId="4" fontId="3" fillId="3" borderId="0" xfId="1" applyNumberFormat="1" applyFont="1" applyFill="1" applyBorder="1" applyAlignment="1" applyProtection="1">
      <alignment horizontal="right" vertical="top"/>
    </xf>
    <xf numFmtId="0" fontId="10" fillId="3" borderId="0" xfId="0" applyFont="1" applyFill="1" applyBorder="1" applyAlignment="1" applyProtection="1">
      <alignment horizontal="left" vertical="center"/>
    </xf>
    <xf numFmtId="0" fontId="14" fillId="3" borderId="0" xfId="0" applyFont="1" applyFill="1" applyBorder="1" applyAlignment="1" applyProtection="1">
      <alignment vertical="center"/>
    </xf>
    <xf numFmtId="0" fontId="3" fillId="3" borderId="0" xfId="0" applyFont="1" applyFill="1" applyBorder="1" applyAlignment="1" applyProtection="1">
      <alignment horizontal="center" vertical="center"/>
      <protection locked="0"/>
    </xf>
    <xf numFmtId="0" fontId="0" fillId="0" borderId="0" xfId="0" applyFont="1" applyFill="1" applyBorder="1" applyAlignment="1" applyProtection="1">
      <alignment horizontal="left" vertical="top" wrapText="1"/>
      <protection locked="0"/>
    </xf>
    <xf numFmtId="0" fontId="0" fillId="3" borderId="0" xfId="0" applyFont="1" applyFill="1" applyBorder="1" applyAlignment="1" applyProtection="1">
      <alignment vertical="center" wrapText="1"/>
      <protection locked="0"/>
    </xf>
    <xf numFmtId="0" fontId="3" fillId="3" borderId="0" xfId="0" applyFont="1" applyFill="1" applyBorder="1" applyAlignment="1" applyProtection="1">
      <alignment horizontal="center"/>
    </xf>
    <xf numFmtId="0" fontId="3" fillId="3" borderId="0" xfId="0" applyFont="1" applyFill="1" applyBorder="1" applyAlignment="1" applyProtection="1">
      <alignment vertical="top"/>
      <protection locked="0"/>
    </xf>
    <xf numFmtId="0" fontId="0" fillId="3" borderId="0" xfId="0" applyFont="1" applyFill="1" applyBorder="1" applyAlignment="1" applyProtection="1">
      <alignment vertical="top"/>
    </xf>
    <xf numFmtId="0" fontId="3" fillId="3" borderId="0" xfId="0" applyFont="1" applyFill="1" applyBorder="1" applyAlignment="1" applyProtection="1">
      <alignment horizontal="center" vertical="top"/>
    </xf>
    <xf numFmtId="0" fontId="3" fillId="3" borderId="0" xfId="0" applyFont="1" applyFill="1" applyBorder="1" applyAlignment="1">
      <alignment horizontal="left" vertical="center"/>
    </xf>
    <xf numFmtId="0" fontId="3" fillId="0" borderId="0" xfId="0" applyFont="1"/>
    <xf numFmtId="0" fontId="16" fillId="0" borderId="0" xfId="0" applyFont="1"/>
    <xf numFmtId="14" fontId="16" fillId="0" borderId="0" xfId="0" applyNumberFormat="1" applyFont="1"/>
    <xf numFmtId="0" fontId="17" fillId="0" borderId="0" xfId="0" applyFont="1" applyAlignment="1">
      <alignment vertical="center"/>
    </xf>
    <xf numFmtId="0" fontId="0" fillId="0" borderId="0" xfId="0" applyAlignment="1">
      <alignment wrapText="1"/>
    </xf>
    <xf numFmtId="0" fontId="0" fillId="3" borderId="0" xfId="0" applyFont="1" applyFill="1" applyBorder="1" applyAlignment="1" applyProtection="1">
      <alignment horizontal="left" vertical="top" wrapText="1"/>
      <protection locked="0"/>
    </xf>
    <xf numFmtId="0" fontId="0" fillId="3" borderId="17" xfId="0" applyFont="1" applyFill="1" applyBorder="1" applyAlignment="1" applyProtection="1">
      <alignment horizontal="left" vertical="top" wrapText="1"/>
      <protection locked="0"/>
    </xf>
    <xf numFmtId="0" fontId="3" fillId="3" borderId="0" xfId="0" applyFont="1" applyFill="1" applyBorder="1" applyAlignment="1" applyProtection="1">
      <alignment horizontal="left" vertical="center"/>
    </xf>
    <xf numFmtId="0" fontId="0" fillId="3" borderId="2" xfId="0" applyFont="1" applyFill="1" applyBorder="1" applyAlignment="1" applyProtection="1">
      <alignment horizontal="left" vertical="center"/>
      <protection locked="0"/>
    </xf>
    <xf numFmtId="0" fontId="0" fillId="3" borderId="30" xfId="0" applyFont="1" applyFill="1" applyBorder="1" applyAlignment="1" applyProtection="1">
      <alignment horizontal="left" vertical="center"/>
      <protection locked="0"/>
    </xf>
    <xf numFmtId="0" fontId="3" fillId="3" borderId="4" xfId="0" applyFont="1" applyFill="1" applyBorder="1" applyAlignment="1">
      <alignment horizontal="left" vertical="center"/>
    </xf>
    <xf numFmtId="0" fontId="0" fillId="3" borderId="1" xfId="0" applyFont="1" applyFill="1" applyBorder="1" applyAlignment="1" applyProtection="1">
      <alignment horizontal="left" vertical="center"/>
      <protection locked="0"/>
    </xf>
    <xf numFmtId="4" fontId="0" fillId="3" borderId="2" xfId="0" applyNumberFormat="1" applyFont="1" applyFill="1" applyBorder="1" applyAlignment="1" applyProtection="1">
      <alignment horizontal="center" vertical="center"/>
      <protection locked="0"/>
    </xf>
    <xf numFmtId="4" fontId="0" fillId="3" borderId="4" xfId="0" applyNumberFormat="1"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protection locked="0"/>
    </xf>
    <xf numFmtId="0" fontId="3" fillId="3" borderId="25" xfId="0" applyFont="1" applyFill="1" applyBorder="1" applyAlignment="1" applyProtection="1">
      <alignment horizontal="center" vertical="center"/>
    </xf>
    <xf numFmtId="0" fontId="3" fillId="3" borderId="2" xfId="0" applyFont="1" applyFill="1" applyBorder="1" applyAlignment="1" applyProtection="1">
      <alignment horizontal="center" vertical="center" wrapText="1"/>
    </xf>
    <xf numFmtId="0" fontId="3" fillId="3" borderId="25" xfId="0" applyFont="1" applyFill="1" applyBorder="1" applyAlignment="1" applyProtection="1">
      <alignment horizontal="left" vertical="center"/>
    </xf>
    <xf numFmtId="0" fontId="3" fillId="3" borderId="1" xfId="0" applyFont="1" applyFill="1" applyBorder="1" applyAlignment="1" applyProtection="1">
      <alignment horizontal="center" vertical="center"/>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xf numFmtId="0" fontId="0" fillId="3" borderId="34" xfId="0" applyFont="1" applyFill="1" applyBorder="1" applyAlignment="1" applyProtection="1">
      <alignment horizontal="left" vertical="center"/>
    </xf>
    <xf numFmtId="0" fontId="0" fillId="3" borderId="11" xfId="0" applyFont="1" applyFill="1" applyBorder="1" applyAlignment="1" applyProtection="1">
      <alignment horizontal="left" vertical="center"/>
    </xf>
    <xf numFmtId="0" fontId="0" fillId="3" borderId="3" xfId="0" applyFont="1" applyFill="1" applyBorder="1" applyAlignment="1" applyProtection="1">
      <alignment horizontal="left" vertical="center"/>
    </xf>
    <xf numFmtId="0" fontId="0" fillId="3" borderId="4" xfId="0" applyFont="1" applyFill="1" applyBorder="1" applyAlignment="1" applyProtection="1">
      <alignment horizontal="center" vertical="center"/>
    </xf>
    <xf numFmtId="0" fontId="0" fillId="3" borderId="1" xfId="0" applyFont="1" applyFill="1" applyBorder="1" applyAlignment="1" applyProtection="1">
      <alignment horizontal="left" vertical="center"/>
    </xf>
    <xf numFmtId="0" fontId="0" fillId="2" borderId="2" xfId="0" applyFont="1" applyFill="1" applyBorder="1" applyAlignment="1" applyProtection="1">
      <alignment horizontal="right" vertical="center"/>
      <protection locked="0"/>
    </xf>
    <xf numFmtId="0" fontId="0" fillId="3" borderId="14" xfId="0" applyFont="1" applyFill="1" applyBorder="1" applyAlignment="1" applyProtection="1">
      <alignment horizontal="left" vertical="top" wrapText="1"/>
      <protection locked="0"/>
    </xf>
    <xf numFmtId="0" fontId="0" fillId="3" borderId="13" xfId="0" applyFont="1" applyFill="1" applyBorder="1" applyAlignment="1" applyProtection="1">
      <alignment horizontal="left" vertical="top" wrapText="1"/>
      <protection locked="0"/>
    </xf>
    <xf numFmtId="0" fontId="0" fillId="3" borderId="29" xfId="0" applyFont="1" applyFill="1" applyBorder="1" applyAlignment="1" applyProtection="1">
      <alignment horizontal="left" vertical="top" wrapText="1"/>
      <protection locked="0"/>
    </xf>
    <xf numFmtId="0" fontId="0" fillId="3" borderId="5" xfId="0" applyFont="1" applyFill="1" applyBorder="1" applyAlignment="1" applyProtection="1">
      <alignment horizontal="left" vertical="top" wrapText="1"/>
      <protection locked="0"/>
    </xf>
    <xf numFmtId="0" fontId="0" fillId="3" borderId="0" xfId="0" applyFont="1" applyFill="1" applyBorder="1" applyAlignment="1" applyProtection="1">
      <alignment horizontal="left" vertical="top" wrapText="1"/>
      <protection locked="0"/>
    </xf>
    <xf numFmtId="0" fontId="0" fillId="3" borderId="17"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1" xfId="0" applyFont="1" applyFill="1" applyBorder="1" applyAlignment="1" applyProtection="1">
      <alignment horizontal="left" vertical="top" wrapText="1"/>
      <protection locked="0"/>
    </xf>
    <xf numFmtId="0" fontId="0" fillId="3" borderId="31" xfId="0" applyFont="1" applyFill="1" applyBorder="1" applyAlignment="1" applyProtection="1">
      <alignment horizontal="left" vertical="top" wrapText="1"/>
      <protection locked="0"/>
    </xf>
    <xf numFmtId="0" fontId="3" fillId="3" borderId="25" xfId="0" applyFont="1" applyFill="1" applyBorder="1" applyAlignment="1" applyProtection="1">
      <alignment horizontal="left" vertical="top" wrapText="1"/>
    </xf>
    <xf numFmtId="0" fontId="3" fillId="3" borderId="4" xfId="0" applyFont="1" applyFill="1" applyBorder="1" applyAlignment="1" applyProtection="1">
      <alignment horizontal="left" vertical="top" wrapText="1"/>
    </xf>
    <xf numFmtId="43" fontId="0" fillId="3" borderId="2" xfId="1" applyFont="1" applyFill="1" applyBorder="1" applyAlignment="1" applyProtection="1">
      <alignment horizontal="left" vertical="top"/>
      <protection locked="0"/>
    </xf>
    <xf numFmtId="43" fontId="0" fillId="3" borderId="4" xfId="1" applyFont="1" applyFill="1" applyBorder="1" applyAlignment="1" applyProtection="1">
      <alignment horizontal="left" vertical="top"/>
      <protection locked="0"/>
    </xf>
    <xf numFmtId="43" fontId="0" fillId="3" borderId="2" xfId="1" applyFont="1" applyFill="1" applyBorder="1" applyAlignment="1" applyProtection="1">
      <alignment horizontal="right" vertical="top"/>
      <protection locked="0"/>
    </xf>
    <xf numFmtId="43" fontId="0" fillId="3" borderId="4" xfId="1" applyFont="1" applyFill="1" applyBorder="1" applyAlignment="1" applyProtection="1">
      <alignment horizontal="right" vertical="top"/>
      <protection locked="0"/>
    </xf>
    <xf numFmtId="43" fontId="0" fillId="3" borderId="2" xfId="1" applyFont="1" applyFill="1" applyBorder="1" applyAlignment="1" applyProtection="1">
      <alignment horizontal="right" vertical="top"/>
    </xf>
    <xf numFmtId="43" fontId="0" fillId="3" borderId="4" xfId="1" applyFont="1" applyFill="1" applyBorder="1" applyAlignment="1" applyProtection="1">
      <alignment horizontal="right" vertical="top"/>
    </xf>
    <xf numFmtId="43" fontId="0" fillId="3" borderId="2" xfId="1" applyFont="1" applyFill="1" applyBorder="1" applyAlignment="1" applyProtection="1">
      <alignment horizontal="center" vertical="top"/>
    </xf>
    <xf numFmtId="43" fontId="0" fillId="3" borderId="4" xfId="1" applyFont="1" applyFill="1" applyBorder="1" applyAlignment="1" applyProtection="1">
      <alignment horizontal="center" vertical="top"/>
    </xf>
    <xf numFmtId="10" fontId="0" fillId="3" borderId="2" xfId="1" applyNumberFormat="1" applyFont="1" applyFill="1" applyBorder="1" applyAlignment="1" applyProtection="1">
      <alignment horizontal="right" vertical="top"/>
    </xf>
    <xf numFmtId="10" fontId="0" fillId="3" borderId="4" xfId="1" applyNumberFormat="1" applyFont="1" applyFill="1" applyBorder="1" applyAlignment="1" applyProtection="1">
      <alignment horizontal="right" vertical="top"/>
    </xf>
    <xf numFmtId="0" fontId="3" fillId="3" borderId="19" xfId="0" applyFont="1" applyFill="1" applyBorder="1" applyAlignment="1" applyProtection="1">
      <alignment horizontal="left" vertical="center"/>
    </xf>
    <xf numFmtId="0" fontId="3" fillId="2" borderId="22" xfId="0" applyFont="1" applyFill="1" applyBorder="1" applyAlignment="1" applyProtection="1">
      <alignment horizontal="left" vertical="center"/>
    </xf>
    <xf numFmtId="0" fontId="3" fillId="2" borderId="23" xfId="0" applyFont="1" applyFill="1" applyBorder="1" applyAlignment="1" applyProtection="1">
      <alignment horizontal="left" vertical="center"/>
    </xf>
    <xf numFmtId="0" fontId="3" fillId="2" borderId="24" xfId="0" applyFont="1" applyFill="1" applyBorder="1" applyAlignment="1" applyProtection="1">
      <alignment horizontal="left" vertical="center"/>
    </xf>
    <xf numFmtId="0" fontId="3" fillId="2" borderId="25" xfId="0" applyFont="1" applyFill="1" applyBorder="1" applyAlignment="1" applyProtection="1">
      <alignment horizontal="center" vertical="center"/>
    </xf>
    <xf numFmtId="0" fontId="3" fillId="2" borderId="4" xfId="0" applyFont="1" applyFill="1" applyBorder="1" applyAlignment="1" applyProtection="1">
      <alignment horizontal="center" vertical="center"/>
    </xf>
    <xf numFmtId="0" fontId="3" fillId="2" borderId="25" xfId="0" applyFont="1" applyFill="1" applyBorder="1" applyAlignment="1" applyProtection="1">
      <alignment horizontal="left" vertical="center"/>
    </xf>
    <xf numFmtId="0" fontId="3" fillId="2" borderId="3" xfId="0" applyFont="1" applyFill="1" applyBorder="1" applyAlignment="1" applyProtection="1">
      <alignment horizontal="left" vertical="center"/>
    </xf>
    <xf numFmtId="0" fontId="3" fillId="2" borderId="30" xfId="0" applyFont="1" applyFill="1" applyBorder="1" applyAlignment="1" applyProtection="1">
      <alignment horizontal="left" vertical="center"/>
    </xf>
    <xf numFmtId="0" fontId="0" fillId="3" borderId="2" xfId="0" applyFont="1" applyFill="1" applyBorder="1" applyAlignment="1" applyProtection="1">
      <alignment horizontal="left" vertical="center"/>
      <protection locked="0"/>
    </xf>
    <xf numFmtId="0" fontId="0" fillId="3" borderId="30" xfId="0" applyFont="1" applyFill="1" applyBorder="1" applyAlignment="1" applyProtection="1">
      <alignment horizontal="left" vertical="center"/>
      <protection locked="0"/>
    </xf>
    <xf numFmtId="0" fontId="0" fillId="3" borderId="3" xfId="0" applyFont="1" applyFill="1" applyBorder="1" applyAlignment="1" applyProtection="1">
      <alignment horizontal="left" vertical="center"/>
      <protection locked="0"/>
    </xf>
    <xf numFmtId="0" fontId="3" fillId="3" borderId="25" xfId="0" applyFont="1" applyFill="1" applyBorder="1" applyAlignment="1">
      <alignment horizontal="left" vertical="center"/>
    </xf>
    <xf numFmtId="0" fontId="3" fillId="3" borderId="4" xfId="0" applyFont="1" applyFill="1" applyBorder="1" applyAlignment="1">
      <alignment horizontal="left" vertical="center"/>
    </xf>
    <xf numFmtId="0" fontId="3" fillId="2" borderId="25" xfId="0" applyFont="1" applyFill="1" applyBorder="1" applyAlignment="1">
      <alignment horizontal="left" vertical="center"/>
    </xf>
    <xf numFmtId="0" fontId="3" fillId="2" borderId="4" xfId="0" applyFont="1" applyFill="1" applyBorder="1" applyAlignment="1">
      <alignment horizontal="left" vertical="center"/>
    </xf>
    <xf numFmtId="0" fontId="0" fillId="3" borderId="2" xfId="0" applyFont="1" applyFill="1" applyBorder="1" applyAlignment="1" applyProtection="1">
      <alignment horizontal="left" vertical="top" wrapText="1"/>
      <protection locked="0"/>
    </xf>
    <xf numFmtId="0" fontId="0" fillId="3" borderId="3" xfId="0" applyFont="1" applyFill="1" applyBorder="1" applyAlignment="1" applyProtection="1">
      <alignment horizontal="left" vertical="top" wrapText="1"/>
      <protection locked="0"/>
    </xf>
    <xf numFmtId="0" fontId="0" fillId="3" borderId="30" xfId="0" applyFont="1" applyFill="1" applyBorder="1" applyAlignment="1" applyProtection="1">
      <alignment horizontal="left" vertical="top" wrapText="1"/>
      <protection locked="0"/>
    </xf>
    <xf numFmtId="14" fontId="0" fillId="3" borderId="2" xfId="0" applyNumberFormat="1" applyFont="1" applyFill="1" applyBorder="1" applyAlignment="1" applyProtection="1">
      <alignment horizontal="left" vertical="center"/>
      <protection locked="0"/>
    </xf>
    <xf numFmtId="14" fontId="0" fillId="3" borderId="30" xfId="0" applyNumberFormat="1" applyFont="1" applyFill="1" applyBorder="1" applyAlignment="1" applyProtection="1">
      <alignment horizontal="left" vertical="center"/>
      <protection locked="0"/>
    </xf>
    <xf numFmtId="0" fontId="0" fillId="3" borderId="2" xfId="0" applyFont="1" applyFill="1" applyBorder="1" applyAlignment="1" applyProtection="1">
      <alignment horizontal="center" vertical="center"/>
      <protection locked="0"/>
    </xf>
    <xf numFmtId="0" fontId="0" fillId="3" borderId="30" xfId="0" applyFont="1" applyFill="1" applyBorder="1" applyAlignment="1" applyProtection="1">
      <alignment horizontal="center" vertical="center"/>
      <protection locked="0"/>
    </xf>
    <xf numFmtId="0" fontId="3" fillId="2" borderId="3" xfId="0" applyFont="1" applyFill="1" applyBorder="1" applyAlignment="1" applyProtection="1">
      <alignment horizontal="center" vertical="center"/>
    </xf>
    <xf numFmtId="0" fontId="3" fillId="2" borderId="30"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4" fontId="0" fillId="3" borderId="2" xfId="0" applyNumberFormat="1" applyFont="1" applyFill="1" applyBorder="1" applyAlignment="1" applyProtection="1">
      <alignment horizontal="center" vertical="center"/>
      <protection locked="0"/>
    </xf>
    <xf numFmtId="4" fontId="0" fillId="3" borderId="4" xfId="0" applyNumberFormat="1"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protection locked="0"/>
    </xf>
    <xf numFmtId="0" fontId="0" fillId="3" borderId="11" xfId="0" applyFont="1" applyFill="1" applyBorder="1" applyAlignment="1" applyProtection="1">
      <alignment horizontal="center" vertical="center"/>
      <protection locked="0"/>
    </xf>
    <xf numFmtId="0" fontId="3" fillId="3" borderId="25" xfId="0" applyFont="1" applyFill="1" applyBorder="1" applyAlignment="1" applyProtection="1">
      <alignment horizontal="left" vertical="top"/>
    </xf>
    <xf numFmtId="0" fontId="3" fillId="3" borderId="3" xfId="0" applyFont="1" applyFill="1" applyBorder="1" applyAlignment="1" applyProtection="1">
      <alignment horizontal="left" vertical="top"/>
    </xf>
    <xf numFmtId="0" fontId="3" fillId="3" borderId="30" xfId="0" applyFont="1" applyFill="1" applyBorder="1" applyAlignment="1" applyProtection="1">
      <alignment horizontal="left" vertical="top"/>
    </xf>
    <xf numFmtId="0" fontId="0" fillId="2" borderId="2" xfId="0" applyFont="1" applyFill="1" applyBorder="1" applyAlignment="1" applyProtection="1">
      <alignment horizontal="left" vertical="center"/>
      <protection locked="0"/>
    </xf>
    <xf numFmtId="0" fontId="0" fillId="2" borderId="30" xfId="0" applyFont="1" applyFill="1" applyBorder="1" applyAlignment="1" applyProtection="1">
      <alignment horizontal="left" vertical="center"/>
      <protection locked="0"/>
    </xf>
    <xf numFmtId="1" fontId="0" fillId="3" borderId="2" xfId="0" applyNumberFormat="1" applyFont="1" applyFill="1" applyBorder="1" applyAlignment="1" applyProtection="1">
      <alignment horizontal="left" vertical="center"/>
      <protection locked="0"/>
    </xf>
    <xf numFmtId="1" fontId="0" fillId="3" borderId="30" xfId="0" applyNumberFormat="1" applyFont="1" applyFill="1" applyBorder="1" applyAlignment="1" applyProtection="1">
      <alignment horizontal="left" vertical="center"/>
      <protection locked="0"/>
    </xf>
    <xf numFmtId="0" fontId="0" fillId="3" borderId="2" xfId="0" applyFont="1" applyFill="1" applyBorder="1" applyAlignment="1" applyProtection="1">
      <alignment horizontal="left" vertical="center" wrapText="1"/>
      <protection locked="0"/>
    </xf>
    <xf numFmtId="0" fontId="0" fillId="3" borderId="30" xfId="0" applyFont="1" applyFill="1" applyBorder="1" applyAlignment="1" applyProtection="1">
      <alignment horizontal="left" vertical="center" wrapText="1"/>
      <protection locked="0"/>
    </xf>
    <xf numFmtId="4" fontId="0" fillId="2" borderId="2" xfId="0" applyNumberFormat="1" applyFont="1" applyFill="1" applyBorder="1" applyAlignment="1">
      <alignment horizontal="right" vertical="center"/>
    </xf>
    <xf numFmtId="4" fontId="0" fillId="2" borderId="30" xfId="0" applyNumberFormat="1" applyFont="1" applyFill="1" applyBorder="1" applyAlignment="1">
      <alignment horizontal="right" vertical="center"/>
    </xf>
    <xf numFmtId="0" fontId="0" fillId="3" borderId="5" xfId="0" applyFont="1" applyFill="1" applyBorder="1" applyAlignment="1">
      <alignment horizontal="center" vertical="center"/>
    </xf>
    <xf numFmtId="0" fontId="0" fillId="3" borderId="17" xfId="0" applyFont="1" applyFill="1" applyBorder="1" applyAlignment="1">
      <alignment horizontal="center" vertical="center"/>
    </xf>
    <xf numFmtId="0" fontId="0" fillId="3" borderId="9" xfId="0" applyFont="1" applyFill="1" applyBorder="1" applyAlignment="1">
      <alignment horizontal="center" vertical="center"/>
    </xf>
    <xf numFmtId="0" fontId="0" fillId="3" borderId="31" xfId="0" applyFont="1" applyFill="1" applyBorder="1" applyAlignment="1">
      <alignment horizontal="center" vertical="center"/>
    </xf>
    <xf numFmtId="0" fontId="8" fillId="0" borderId="22" xfId="0" applyFont="1" applyBorder="1" applyAlignment="1" applyProtection="1">
      <alignment horizontal="right" vertical="center"/>
    </xf>
    <xf numFmtId="0" fontId="8" fillId="0" borderId="23" xfId="0" applyFont="1" applyBorder="1" applyAlignment="1" applyProtection="1">
      <alignment horizontal="right" vertical="center"/>
    </xf>
    <xf numFmtId="0" fontId="8" fillId="0" borderId="24" xfId="0" applyFont="1" applyBorder="1" applyAlignment="1" applyProtection="1">
      <alignment horizontal="right" vertical="center"/>
    </xf>
    <xf numFmtId="1" fontId="0" fillId="2" borderId="2" xfId="0" applyNumberFormat="1" applyFont="1" applyFill="1" applyBorder="1" applyAlignment="1">
      <alignment horizontal="right" vertical="center"/>
    </xf>
    <xf numFmtId="1" fontId="0" fillId="2" borderId="30" xfId="0" applyNumberFormat="1" applyFont="1" applyFill="1" applyBorder="1" applyAlignment="1">
      <alignment horizontal="right" vertical="center"/>
    </xf>
    <xf numFmtId="0" fontId="0" fillId="3" borderId="16" xfId="0" applyFont="1" applyFill="1" applyBorder="1" applyAlignment="1">
      <alignment horizontal="left" vertical="center" wrapText="1"/>
    </xf>
    <xf numFmtId="0" fontId="0" fillId="3" borderId="0" xfId="0" applyFont="1" applyFill="1" applyBorder="1" applyAlignment="1">
      <alignment horizontal="left" vertical="center" wrapText="1"/>
    </xf>
    <xf numFmtId="0" fontId="0" fillId="3" borderId="15" xfId="0" applyFont="1" applyFill="1" applyBorder="1" applyAlignment="1">
      <alignment horizontal="left" vertical="center" wrapText="1"/>
    </xf>
    <xf numFmtId="0" fontId="3" fillId="3" borderId="28" xfId="0" applyFont="1" applyFill="1" applyBorder="1" applyAlignment="1">
      <alignment horizontal="left" vertical="top" wrapText="1"/>
    </xf>
    <xf numFmtId="0" fontId="3" fillId="3" borderId="13" xfId="0" applyFont="1" applyFill="1" applyBorder="1" applyAlignment="1">
      <alignment horizontal="left" vertical="top" wrapText="1"/>
    </xf>
    <xf numFmtId="0" fontId="0" fillId="3" borderId="14" xfId="0" applyFont="1" applyFill="1" applyBorder="1" applyAlignment="1">
      <alignment horizontal="left" vertical="top" wrapText="1"/>
    </xf>
    <xf numFmtId="0" fontId="0" fillId="3" borderId="29" xfId="0" applyFont="1" applyFill="1" applyBorder="1" applyAlignment="1">
      <alignment horizontal="left" vertical="top" wrapText="1"/>
    </xf>
    <xf numFmtId="0" fontId="3" fillId="3" borderId="25" xfId="0" applyFont="1" applyFill="1" applyBorder="1" applyAlignment="1" applyProtection="1">
      <alignment horizontal="center" vertical="center"/>
    </xf>
    <xf numFmtId="0" fontId="3" fillId="3" borderId="3" xfId="0" applyFont="1" applyFill="1" applyBorder="1" applyAlignment="1" applyProtection="1">
      <alignment horizontal="center" vertical="center"/>
    </xf>
    <xf numFmtId="0" fontId="3" fillId="3" borderId="4" xfId="0" applyFont="1" applyFill="1" applyBorder="1" applyAlignment="1" applyProtection="1">
      <alignment horizontal="center" vertical="center"/>
    </xf>
    <xf numFmtId="0" fontId="3" fillId="3" borderId="2"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3" fillId="3" borderId="25" xfId="0" applyFont="1" applyFill="1" applyBorder="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3" borderId="25" xfId="0" applyFont="1" applyFill="1" applyBorder="1" applyAlignment="1" applyProtection="1">
      <alignment horizontal="right" vertical="top"/>
    </xf>
    <xf numFmtId="0" fontId="3" fillId="3" borderId="3" xfId="0" applyFont="1" applyFill="1" applyBorder="1" applyAlignment="1" applyProtection="1">
      <alignment horizontal="right" vertical="top"/>
    </xf>
    <xf numFmtId="0" fontId="3" fillId="3" borderId="30" xfId="0" applyFont="1" applyFill="1" applyBorder="1" applyAlignment="1" applyProtection="1">
      <alignment horizontal="center" vertical="center"/>
      <protection locked="0"/>
    </xf>
    <xf numFmtId="0" fontId="10" fillId="3" borderId="25" xfId="0" applyFont="1" applyFill="1" applyBorder="1" applyAlignment="1" applyProtection="1">
      <alignment horizontal="left" vertical="center"/>
    </xf>
    <xf numFmtId="0" fontId="10" fillId="3" borderId="3" xfId="0" applyFont="1" applyFill="1" applyBorder="1" applyAlignment="1" applyProtection="1">
      <alignment horizontal="left" vertical="center"/>
    </xf>
    <xf numFmtId="0" fontId="10" fillId="3" borderId="30" xfId="0" applyFont="1" applyFill="1" applyBorder="1" applyAlignment="1" applyProtection="1">
      <alignment horizontal="left" vertical="center"/>
    </xf>
    <xf numFmtId="0" fontId="3" fillId="3" borderId="25" xfId="0" applyFont="1" applyFill="1" applyBorder="1" applyAlignment="1" applyProtection="1">
      <alignment horizontal="left" vertical="center"/>
    </xf>
    <xf numFmtId="0" fontId="3" fillId="3" borderId="3" xfId="0" applyFont="1" applyFill="1" applyBorder="1" applyAlignment="1" applyProtection="1">
      <alignment horizontal="left" vertical="center"/>
    </xf>
    <xf numFmtId="0" fontId="3" fillId="3" borderId="30" xfId="0" applyFont="1" applyFill="1" applyBorder="1" applyAlignment="1" applyProtection="1">
      <alignment horizontal="left" vertical="center"/>
    </xf>
    <xf numFmtId="0" fontId="3" fillId="3" borderId="2" xfId="0" applyFont="1" applyFill="1" applyBorder="1" applyAlignment="1" applyProtection="1">
      <alignment horizontal="center" vertical="center"/>
    </xf>
    <xf numFmtId="0" fontId="3" fillId="3" borderId="30" xfId="0" applyFont="1" applyFill="1" applyBorder="1" applyAlignment="1" applyProtection="1">
      <alignment horizontal="center" vertical="center"/>
    </xf>
    <xf numFmtId="0" fontId="3" fillId="2" borderId="2" xfId="0" applyFont="1" applyFill="1" applyBorder="1" applyAlignment="1" applyProtection="1">
      <alignment horizontal="left" vertical="center"/>
    </xf>
    <xf numFmtId="0" fontId="3" fillId="2" borderId="4" xfId="0" applyFont="1" applyFill="1" applyBorder="1" applyAlignment="1" applyProtection="1">
      <alignment horizontal="left" vertical="center"/>
    </xf>
    <xf numFmtId="0" fontId="3" fillId="3" borderId="2" xfId="0" applyFont="1" applyFill="1" applyBorder="1" applyAlignment="1" applyProtection="1">
      <alignment horizontal="left" vertical="top"/>
    </xf>
    <xf numFmtId="0" fontId="3" fillId="3" borderId="4" xfId="0" applyFont="1" applyFill="1" applyBorder="1" applyAlignment="1" applyProtection="1">
      <alignment horizontal="left" vertical="top"/>
    </xf>
    <xf numFmtId="0" fontId="3" fillId="3" borderId="2" xfId="0" applyFont="1" applyFill="1" applyBorder="1" applyAlignment="1" applyProtection="1">
      <alignment horizontal="center" vertical="top"/>
    </xf>
    <xf numFmtId="0" fontId="3" fillId="3" borderId="4" xfId="0" applyFont="1" applyFill="1" applyBorder="1" applyAlignment="1" applyProtection="1">
      <alignment horizontal="center" vertical="top"/>
    </xf>
    <xf numFmtId="0" fontId="3" fillId="3" borderId="3" xfId="0" applyFont="1" applyFill="1" applyBorder="1" applyAlignment="1" applyProtection="1">
      <alignment horizontal="center" vertical="top"/>
    </xf>
    <xf numFmtId="0" fontId="0" fillId="3" borderId="4" xfId="0" applyFont="1" applyFill="1" applyBorder="1" applyAlignment="1" applyProtection="1">
      <alignment horizontal="left" vertical="center"/>
      <protection locked="0"/>
    </xf>
    <xf numFmtId="0" fontId="0" fillId="3" borderId="2" xfId="0" applyFont="1" applyFill="1" applyBorder="1" applyAlignment="1" applyProtection="1">
      <alignment horizontal="center" vertical="center" wrapText="1"/>
      <protection locked="0"/>
    </xf>
    <xf numFmtId="0" fontId="0" fillId="3" borderId="3" xfId="0" applyFont="1" applyFill="1" applyBorder="1" applyAlignment="1" applyProtection="1">
      <alignment horizontal="center" vertical="center" wrapText="1"/>
      <protection locked="0"/>
    </xf>
    <xf numFmtId="0" fontId="0" fillId="3" borderId="30" xfId="0" applyFont="1" applyFill="1" applyBorder="1" applyAlignment="1" applyProtection="1">
      <alignment horizontal="center" vertical="center" wrapText="1"/>
      <protection locked="0"/>
    </xf>
    <xf numFmtId="0" fontId="3" fillId="3" borderId="25" xfId="0" applyFont="1" applyFill="1" applyBorder="1" applyAlignment="1" applyProtection="1">
      <alignment horizontal="center"/>
    </xf>
    <xf numFmtId="0" fontId="3" fillId="3" borderId="4" xfId="0" applyFont="1" applyFill="1" applyBorder="1" applyAlignment="1" applyProtection="1">
      <alignment horizontal="center"/>
    </xf>
    <xf numFmtId="0" fontId="0" fillId="0" borderId="2" xfId="0" applyFont="1" applyFill="1" applyBorder="1" applyAlignment="1" applyProtection="1">
      <alignment horizontal="left" vertical="center"/>
      <protection locked="0"/>
    </xf>
    <xf numFmtId="0" fontId="0" fillId="0" borderId="30" xfId="0" applyFont="1" applyFill="1" applyBorder="1" applyAlignment="1" applyProtection="1">
      <alignment horizontal="left" vertical="center"/>
      <protection locked="0"/>
    </xf>
    <xf numFmtId="0" fontId="3" fillId="3" borderId="4" xfId="0" applyFont="1" applyFill="1" applyBorder="1" applyAlignment="1" applyProtection="1">
      <alignment horizontal="center" vertical="center" wrapText="1"/>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xf numFmtId="0" fontId="4" fillId="3" borderId="25" xfId="0" applyFont="1" applyFill="1" applyBorder="1" applyAlignment="1" applyProtection="1">
      <alignment horizontal="left" vertical="top" wrapText="1"/>
      <protection locked="0"/>
    </xf>
    <xf numFmtId="0" fontId="4" fillId="3" borderId="3" xfId="0" applyFont="1" applyFill="1" applyBorder="1" applyAlignment="1" applyProtection="1">
      <alignment horizontal="left" vertical="top" wrapText="1"/>
      <protection locked="0"/>
    </xf>
    <xf numFmtId="0" fontId="4" fillId="3" borderId="30" xfId="0" applyFont="1" applyFill="1" applyBorder="1" applyAlignment="1" applyProtection="1">
      <alignment horizontal="left" vertical="top" wrapText="1"/>
      <protection locked="0"/>
    </xf>
    <xf numFmtId="0" fontId="0" fillId="3" borderId="3" xfId="0" applyFont="1" applyFill="1" applyBorder="1" applyAlignment="1" applyProtection="1">
      <alignment horizontal="center" vertical="center"/>
      <protection locked="0"/>
    </xf>
    <xf numFmtId="0" fontId="0" fillId="3" borderId="4" xfId="0" applyFont="1" applyFill="1" applyBorder="1" applyAlignment="1" applyProtection="1">
      <alignment horizontal="center" vertical="center"/>
      <protection locked="0"/>
    </xf>
    <xf numFmtId="0" fontId="0" fillId="0" borderId="25"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0" fillId="0" borderId="30" xfId="0" applyFont="1" applyFill="1" applyBorder="1" applyAlignment="1" applyProtection="1">
      <alignment horizontal="left" vertical="top" wrapText="1"/>
      <protection locked="0"/>
    </xf>
    <xf numFmtId="0" fontId="3" fillId="3" borderId="2" xfId="0" applyFont="1" applyFill="1" applyBorder="1" applyAlignment="1" applyProtection="1">
      <alignment horizontal="center"/>
    </xf>
    <xf numFmtId="0" fontId="3" fillId="3" borderId="3" xfId="0" applyFont="1" applyFill="1" applyBorder="1" applyAlignment="1" applyProtection="1">
      <alignment horizontal="center"/>
    </xf>
    <xf numFmtId="0" fontId="3" fillId="3" borderId="30" xfId="0" applyFont="1" applyFill="1" applyBorder="1" applyAlignment="1" applyProtection="1">
      <alignment horizontal="center"/>
    </xf>
    <xf numFmtId="0" fontId="0" fillId="3" borderId="28" xfId="0" applyFont="1" applyFill="1" applyBorder="1" applyAlignment="1" applyProtection="1">
      <alignment horizontal="left" vertical="center"/>
    </xf>
    <xf numFmtId="0" fontId="0" fillId="3" borderId="13" xfId="0" applyFont="1" applyFill="1" applyBorder="1" applyAlignment="1" applyProtection="1">
      <alignment horizontal="left" vertical="center"/>
    </xf>
    <xf numFmtId="0" fontId="0" fillId="3" borderId="12" xfId="0" applyFont="1" applyFill="1" applyBorder="1" applyAlignment="1" applyProtection="1">
      <alignment horizontal="left" vertical="center"/>
    </xf>
    <xf numFmtId="0" fontId="0" fillId="3" borderId="34" xfId="0" applyFont="1" applyFill="1" applyBorder="1" applyAlignment="1" applyProtection="1">
      <alignment horizontal="left" vertical="center"/>
    </xf>
    <xf numFmtId="0" fontId="0" fillId="3" borderId="11" xfId="0" applyFont="1" applyFill="1" applyBorder="1" applyAlignment="1" applyProtection="1">
      <alignment horizontal="left" vertical="center"/>
    </xf>
    <xf numFmtId="0" fontId="0" fillId="3" borderId="10" xfId="0" applyFont="1" applyFill="1" applyBorder="1" applyAlignment="1" applyProtection="1">
      <alignment horizontal="left" vertical="center"/>
    </xf>
    <xf numFmtId="0" fontId="0" fillId="3" borderId="14" xfId="0" applyFont="1" applyFill="1" applyBorder="1" applyAlignment="1" applyProtection="1">
      <alignment horizontal="left" vertical="center" wrapText="1"/>
    </xf>
    <xf numFmtId="0" fontId="0" fillId="3" borderId="13" xfId="0" applyFont="1" applyFill="1" applyBorder="1" applyAlignment="1" applyProtection="1">
      <alignment horizontal="left" vertical="center" wrapText="1"/>
    </xf>
    <xf numFmtId="0" fontId="0" fillId="3" borderId="29" xfId="0" applyFont="1" applyFill="1" applyBorder="1" applyAlignment="1" applyProtection="1">
      <alignment horizontal="left" vertical="center" wrapText="1"/>
    </xf>
    <xf numFmtId="0" fontId="0" fillId="3" borderId="9" xfId="0" applyFont="1" applyFill="1" applyBorder="1" applyAlignment="1" applyProtection="1">
      <alignment horizontal="left" vertical="center" wrapText="1"/>
    </xf>
    <xf numFmtId="0" fontId="0" fillId="3" borderId="11" xfId="0" applyFont="1" applyFill="1" applyBorder="1" applyAlignment="1" applyProtection="1">
      <alignment horizontal="left" vertical="center" wrapText="1"/>
    </xf>
    <xf numFmtId="0" fontId="0" fillId="3" borderId="31" xfId="0" applyFont="1" applyFill="1" applyBorder="1" applyAlignment="1" applyProtection="1">
      <alignment horizontal="left" vertical="center" wrapText="1"/>
    </xf>
    <xf numFmtId="0" fontId="8" fillId="0" borderId="37" xfId="0" applyFont="1" applyBorder="1" applyAlignment="1" applyProtection="1">
      <alignment horizontal="right" vertical="center"/>
    </xf>
    <xf numFmtId="0" fontId="8" fillId="0" borderId="38" xfId="0" applyFont="1" applyBorder="1" applyAlignment="1" applyProtection="1">
      <alignment horizontal="right" vertical="center"/>
    </xf>
    <xf numFmtId="15" fontId="0" fillId="3" borderId="2" xfId="0" applyNumberFormat="1" applyFont="1" applyFill="1" applyBorder="1" applyAlignment="1" applyProtection="1">
      <alignment horizontal="center" vertical="center"/>
    </xf>
    <xf numFmtId="15" fontId="0" fillId="3" borderId="3" xfId="0" applyNumberFormat="1" applyFont="1" applyFill="1" applyBorder="1" applyAlignment="1" applyProtection="1">
      <alignment horizontal="center" vertical="center"/>
    </xf>
    <xf numFmtId="15" fontId="0" fillId="3" borderId="30" xfId="0" applyNumberFormat="1" applyFont="1" applyFill="1" applyBorder="1" applyAlignment="1" applyProtection="1">
      <alignment horizontal="center" vertical="center"/>
    </xf>
    <xf numFmtId="0" fontId="0" fillId="3" borderId="25" xfId="0" applyFont="1" applyFill="1" applyBorder="1" applyAlignment="1" applyProtection="1">
      <alignment horizontal="left" vertical="center"/>
    </xf>
    <xf numFmtId="0" fontId="0" fillId="3" borderId="3" xfId="0" applyFont="1" applyFill="1" applyBorder="1" applyAlignment="1" applyProtection="1">
      <alignment horizontal="left" vertical="center"/>
    </xf>
    <xf numFmtId="0" fontId="0" fillId="3" borderId="4" xfId="0" applyFont="1" applyFill="1" applyBorder="1" applyAlignment="1" applyProtection="1">
      <alignment horizontal="left" vertical="center"/>
    </xf>
    <xf numFmtId="0" fontId="0" fillId="3" borderId="2" xfId="0" applyFont="1" applyFill="1" applyBorder="1" applyAlignment="1" applyProtection="1">
      <alignment horizontal="center" vertical="center"/>
    </xf>
    <xf numFmtId="0" fontId="0" fillId="3" borderId="4"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3" xfId="0" applyFont="1" applyFill="1" applyBorder="1" applyAlignment="1" applyProtection="1">
      <alignment horizontal="center" vertical="center"/>
    </xf>
    <xf numFmtId="10" fontId="0" fillId="2" borderId="2" xfId="0" applyNumberFormat="1" applyFont="1" applyFill="1" applyBorder="1" applyAlignment="1">
      <alignment horizontal="right" vertical="center" wrapText="1"/>
    </xf>
    <xf numFmtId="10" fontId="0" fillId="2" borderId="30" xfId="0" applyNumberFormat="1" applyFont="1" applyFill="1" applyBorder="1" applyAlignment="1">
      <alignment horizontal="right" vertical="center" wrapText="1"/>
    </xf>
    <xf numFmtId="0" fontId="0" fillId="2" borderId="2" xfId="0" applyFont="1" applyFill="1" applyBorder="1" applyAlignment="1" applyProtection="1">
      <alignment horizontal="right" vertical="center"/>
      <protection locked="0"/>
    </xf>
    <xf numFmtId="0" fontId="0" fillId="2" borderId="30" xfId="0" applyFont="1" applyFill="1" applyBorder="1" applyAlignment="1" applyProtection="1">
      <alignment horizontal="right" vertical="center"/>
      <protection locked="0"/>
    </xf>
    <xf numFmtId="0" fontId="3" fillId="3" borderId="28"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3" fillId="3" borderId="28" xfId="0" applyFont="1" applyFill="1" applyBorder="1" applyAlignment="1">
      <alignment horizontal="left" vertical="center"/>
    </xf>
    <xf numFmtId="0" fontId="3" fillId="3" borderId="12" xfId="0" applyFont="1" applyFill="1" applyBorder="1" applyAlignment="1">
      <alignment horizontal="left" vertical="center"/>
    </xf>
    <xf numFmtId="0" fontId="3" fillId="3" borderId="34" xfId="0" applyFont="1" applyFill="1" applyBorder="1" applyAlignment="1">
      <alignment horizontal="left" vertical="center"/>
    </xf>
    <xf numFmtId="0" fontId="3" fillId="3" borderId="10" xfId="0" applyFont="1" applyFill="1" applyBorder="1" applyAlignment="1">
      <alignment horizontal="left" vertical="center"/>
    </xf>
    <xf numFmtId="4" fontId="0" fillId="3" borderId="6" xfId="0" applyNumberFormat="1" applyFont="1" applyFill="1" applyBorder="1" applyAlignment="1" applyProtection="1">
      <alignment horizontal="right" vertical="center" wrapText="1"/>
      <protection locked="0"/>
    </xf>
    <xf numFmtId="4" fontId="0" fillId="3" borderId="8" xfId="0" applyNumberFormat="1" applyFont="1" applyFill="1" applyBorder="1" applyAlignment="1" applyProtection="1">
      <alignment horizontal="right" vertical="center" wrapText="1"/>
      <protection locked="0"/>
    </xf>
    <xf numFmtId="164" fontId="0" fillId="3" borderId="6" xfId="0" applyNumberFormat="1" applyFont="1" applyFill="1" applyBorder="1" applyAlignment="1" applyProtection="1">
      <alignment horizontal="right" vertical="center"/>
      <protection locked="0"/>
    </xf>
    <xf numFmtId="164" fontId="0" fillId="3" borderId="8" xfId="0" applyNumberFormat="1" applyFont="1" applyFill="1" applyBorder="1" applyAlignment="1" applyProtection="1">
      <alignment horizontal="right" vertical="center"/>
      <protection locked="0"/>
    </xf>
    <xf numFmtId="0" fontId="18" fillId="0" borderId="0" xfId="0" applyFont="1"/>
  </cellXfs>
  <cellStyles count="5">
    <cellStyle name="Comma" xfId="1" builtinId="3"/>
    <cellStyle name="Comma 2" xfId="3" xr:uid="{00000000-0005-0000-0000-000001000000}"/>
    <cellStyle name="Normal" xfId="0" builtinId="0"/>
    <cellStyle name="Normal 2" xfId="2" xr:uid="{00000000-0005-0000-0000-000003000000}"/>
    <cellStyle name="Percent" xfId="4"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205400</xdr:colOff>
      <xdr:row>0</xdr:row>
      <xdr:rowOff>33473</xdr:rowOff>
    </xdr:from>
    <xdr:to>
      <xdr:col>7</xdr:col>
      <xdr:colOff>1250674</xdr:colOff>
      <xdr:row>1</xdr:row>
      <xdr:rowOff>18931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9550" y="33473"/>
          <a:ext cx="1042375" cy="155666"/>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0.25.225\Branch%20Share%20-%20RCO\Users\869cnp\AppData\Local\Microsoft\Windows\Temporary%20Internet%20Files\Content.Outlook\X0ZQZ22Q\-%20Leasing%20-%20New%20-%20CM%20-%20Hisha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 - Rental"/>
      <sheetName val="02 - Grading Score Card"/>
      <sheetName val="03 - Account Analysis"/>
      <sheetName val="04 - CM"/>
      <sheetName val="HO Use Only"/>
      <sheetName val="DD'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K188"/>
  <sheetViews>
    <sheetView topLeftCell="A85" zoomScaleNormal="100" workbookViewId="0">
      <selection activeCell="G37" sqref="G37:H37"/>
    </sheetView>
  </sheetViews>
  <sheetFormatPr defaultColWidth="0" defaultRowHeight="0" customHeight="1" zeroHeight="1"/>
  <cols>
    <col min="1" max="1" width="2.6640625" style="3" customWidth="1"/>
    <col min="2" max="2" width="31.88671875" style="3" customWidth="1"/>
    <col min="3" max="3" width="17.5546875" style="3" bestFit="1" customWidth="1"/>
    <col min="4" max="4" width="21.109375" style="3" customWidth="1"/>
    <col min="5" max="5" width="1.6640625" style="3" customWidth="1"/>
    <col min="6" max="6" width="22" style="3" customWidth="1"/>
    <col min="7" max="7" width="18.6640625" style="3" customWidth="1"/>
    <col min="8" max="8" width="24.5546875" style="3" customWidth="1"/>
    <col min="9" max="9" width="18.6640625" style="3" hidden="1" customWidth="1"/>
    <col min="10" max="10" width="2.6640625" style="3" customWidth="1"/>
    <col min="11" max="16384" width="9.109375" style="120" hidden="1"/>
  </cols>
  <sheetData>
    <row r="1" spans="1:10" ht="15" thickBot="1">
      <c r="B1" s="212" t="s">
        <v>64</v>
      </c>
      <c r="C1" s="212"/>
      <c r="D1" s="212"/>
      <c r="E1" s="212"/>
      <c r="F1" s="212"/>
      <c r="G1" s="212"/>
    </row>
    <row r="2" spans="1:10" ht="15" customHeight="1">
      <c r="B2" s="213" t="s">
        <v>0</v>
      </c>
      <c r="C2" s="214"/>
      <c r="D2" s="214"/>
      <c r="E2" s="214"/>
      <c r="F2" s="214"/>
      <c r="G2" s="214"/>
      <c r="H2" s="215"/>
      <c r="I2" s="121"/>
    </row>
    <row r="3" spans="1:10" ht="15" customHeight="1">
      <c r="B3" s="181" t="s">
        <v>43</v>
      </c>
      <c r="C3" s="115">
        <v>44543</v>
      </c>
      <c r="D3" s="216" t="s">
        <v>116</v>
      </c>
      <c r="E3" s="217"/>
      <c r="F3" s="4" t="s">
        <v>54</v>
      </c>
      <c r="G3" s="5" t="s">
        <v>44</v>
      </c>
      <c r="H3" s="115">
        <v>44543</v>
      </c>
      <c r="I3" s="122"/>
    </row>
    <row r="4" spans="1:10" ht="15" customHeight="1">
      <c r="B4" s="6" t="s">
        <v>49</v>
      </c>
      <c r="C4" s="7" t="s">
        <v>165</v>
      </c>
      <c r="D4" s="237" t="s">
        <v>117</v>
      </c>
      <c r="E4" s="217"/>
      <c r="F4" s="4" t="s">
        <v>54</v>
      </c>
      <c r="G4" s="8" t="s">
        <v>102</v>
      </c>
      <c r="H4" s="116" t="s">
        <v>121</v>
      </c>
      <c r="I4" s="123"/>
    </row>
    <row r="5" spans="1:10" ht="15" customHeight="1">
      <c r="B5" s="6" t="s">
        <v>101</v>
      </c>
      <c r="C5" s="7" t="s">
        <v>167</v>
      </c>
      <c r="D5" s="10"/>
      <c r="E5" s="10"/>
      <c r="F5" s="10"/>
      <c r="G5" s="8" t="s">
        <v>45</v>
      </c>
      <c r="H5" s="116" t="s">
        <v>156</v>
      </c>
      <c r="I5" s="124"/>
    </row>
    <row r="6" spans="1:10" ht="15" customHeight="1">
      <c r="B6" s="11" t="s">
        <v>100</v>
      </c>
      <c r="C6" s="12" t="s">
        <v>121</v>
      </c>
      <c r="D6" s="10"/>
      <c r="E6" s="10"/>
      <c r="F6" s="10"/>
      <c r="G6" s="8" t="s">
        <v>46</v>
      </c>
      <c r="H6" s="116" t="s">
        <v>145</v>
      </c>
      <c r="I6" s="124"/>
    </row>
    <row r="7" spans="1:10" ht="28.8">
      <c r="B7" s="13" t="s">
        <v>99</v>
      </c>
      <c r="C7" s="7">
        <v>203</v>
      </c>
      <c r="D7" s="10"/>
      <c r="E7" s="10"/>
      <c r="F7" s="10"/>
      <c r="G7" s="14" t="s">
        <v>118</v>
      </c>
      <c r="H7" s="116" t="s">
        <v>200</v>
      </c>
      <c r="I7" s="124"/>
    </row>
    <row r="8" spans="1:10" s="126" customFormat="1" ht="15" customHeight="1">
      <c r="A8" s="125"/>
      <c r="B8" s="11" t="s">
        <v>122</v>
      </c>
      <c r="C8" s="12" t="s">
        <v>146</v>
      </c>
      <c r="D8" s="15"/>
      <c r="E8" s="15"/>
      <c r="F8" s="171"/>
      <c r="G8" s="8" t="s">
        <v>47</v>
      </c>
      <c r="H8" s="117" t="s">
        <v>200</v>
      </c>
      <c r="I8" s="119"/>
      <c r="J8" s="125"/>
    </row>
    <row r="9" spans="1:10" s="126" customFormat="1" ht="15" customHeight="1">
      <c r="A9" s="125"/>
      <c r="B9" s="11" t="s">
        <v>123</v>
      </c>
      <c r="C9" s="12"/>
      <c r="D9" s="15"/>
      <c r="E9" s="15"/>
      <c r="F9" s="171"/>
      <c r="G9" s="16"/>
      <c r="H9" s="17"/>
      <c r="I9" s="119"/>
      <c r="J9" s="125"/>
    </row>
    <row r="10" spans="1:10" ht="15" customHeight="1">
      <c r="B10" s="11" t="s">
        <v>98</v>
      </c>
      <c r="C10" s="5" t="s">
        <v>97</v>
      </c>
      <c r="D10" s="5" t="s">
        <v>96</v>
      </c>
      <c r="E10" s="10"/>
      <c r="F10" s="240"/>
      <c r="G10" s="240"/>
      <c r="H10" s="18"/>
      <c r="I10" s="124"/>
    </row>
    <row r="11" spans="1:10" ht="15" customHeight="1">
      <c r="B11" s="19">
        <v>6</v>
      </c>
      <c r="C11" s="20">
        <v>605</v>
      </c>
      <c r="D11" s="7">
        <v>60504</v>
      </c>
      <c r="E11" s="10"/>
      <c r="F11" s="240"/>
      <c r="G11" s="240"/>
      <c r="H11" s="18"/>
      <c r="I11" s="124"/>
    </row>
    <row r="12" spans="1:10" s="128" customFormat="1" ht="15" customHeight="1">
      <c r="A12" s="55"/>
      <c r="B12" s="21"/>
      <c r="C12" s="10"/>
      <c r="D12" s="10"/>
      <c r="E12" s="10"/>
      <c r="F12" s="241"/>
      <c r="G12" s="241"/>
      <c r="H12" s="22"/>
      <c r="I12" s="127"/>
      <c r="J12" s="55"/>
    </row>
    <row r="13" spans="1:10" ht="15" customHeight="1">
      <c r="B13" s="218" t="s">
        <v>1</v>
      </c>
      <c r="C13" s="219"/>
      <c r="D13" s="219"/>
      <c r="E13" s="219"/>
      <c r="F13" s="219"/>
      <c r="G13" s="219"/>
      <c r="H13" s="220"/>
      <c r="I13" s="121"/>
    </row>
    <row r="14" spans="1:10" ht="15" customHeight="1">
      <c r="B14" s="11" t="s">
        <v>95</v>
      </c>
      <c r="C14" s="221" t="s">
        <v>201</v>
      </c>
      <c r="D14" s="223"/>
      <c r="E14" s="223"/>
      <c r="F14" s="223"/>
      <c r="G14" s="23"/>
      <c r="H14" s="24"/>
      <c r="I14" s="123"/>
    </row>
    <row r="15" spans="1:10" ht="15" customHeight="1">
      <c r="B15" s="11" t="s">
        <v>151</v>
      </c>
      <c r="C15" s="25" t="s">
        <v>166</v>
      </c>
      <c r="D15" s="26" t="s">
        <v>48</v>
      </c>
      <c r="E15" s="26"/>
      <c r="F15" s="189"/>
      <c r="G15" s="221" t="s">
        <v>202</v>
      </c>
      <c r="H15" s="222"/>
      <c r="I15" s="124"/>
    </row>
    <row r="16" spans="1:10" ht="15" customHeight="1">
      <c r="B16" s="11" t="s">
        <v>94</v>
      </c>
      <c r="C16" s="221"/>
      <c r="D16" s="223"/>
      <c r="E16" s="223"/>
      <c r="F16" s="223"/>
      <c r="G16" s="223"/>
      <c r="H16" s="222"/>
      <c r="I16" s="124"/>
    </row>
    <row r="17" spans="1:10" ht="15" customHeight="1">
      <c r="B17" s="11" t="s">
        <v>152</v>
      </c>
      <c r="C17" s="175"/>
      <c r="D17" s="26" t="s">
        <v>48</v>
      </c>
      <c r="E17" s="26"/>
      <c r="F17" s="189" t="e">
        <v>#VALUE!</v>
      </c>
      <c r="G17" s="221" t="s">
        <v>147</v>
      </c>
      <c r="H17" s="222"/>
      <c r="I17" s="124"/>
    </row>
    <row r="18" spans="1:10" ht="15" customHeight="1">
      <c r="B18" s="11" t="s">
        <v>61</v>
      </c>
      <c r="C18" s="221"/>
      <c r="D18" s="223"/>
      <c r="E18" s="223"/>
      <c r="F18" s="223"/>
      <c r="G18" s="223"/>
      <c r="H18" s="222"/>
      <c r="I18" s="124"/>
    </row>
    <row r="19" spans="1:10" ht="15" customHeight="1">
      <c r="B19" s="27" t="s">
        <v>93</v>
      </c>
      <c r="C19" s="221" t="s">
        <v>203</v>
      </c>
      <c r="D19" s="223"/>
      <c r="E19" s="223"/>
      <c r="F19" s="223"/>
      <c r="G19" s="223"/>
      <c r="H19" s="222"/>
      <c r="I19" s="124"/>
    </row>
    <row r="20" spans="1:10" ht="297.75" customHeight="1">
      <c r="B20" s="28" t="s">
        <v>92</v>
      </c>
      <c r="C20" s="228" t="s">
        <v>204</v>
      </c>
      <c r="D20" s="229"/>
      <c r="E20" s="229"/>
      <c r="F20" s="229"/>
      <c r="G20" s="229"/>
      <c r="H20" s="230"/>
      <c r="I20" s="2"/>
    </row>
    <row r="21" spans="1:10" s="128" customFormat="1" ht="14.4">
      <c r="A21" s="55"/>
      <c r="B21" s="6"/>
      <c r="C21" s="187"/>
      <c r="D21" s="187"/>
      <c r="E21" s="187"/>
      <c r="F21" s="187"/>
      <c r="G21" s="187"/>
      <c r="H21" s="29"/>
      <c r="I21" s="127"/>
      <c r="J21" s="55"/>
    </row>
    <row r="22" spans="1:10" ht="15" customHeight="1">
      <c r="B22" s="216" t="s">
        <v>128</v>
      </c>
      <c r="C22" s="235"/>
      <c r="D22" s="235"/>
      <c r="E22" s="235"/>
      <c r="F22" s="235"/>
      <c r="G22" s="235"/>
      <c r="H22" s="236"/>
      <c r="I22" s="129"/>
    </row>
    <row r="23" spans="1:10" ht="15" customHeight="1">
      <c r="B23" s="179" t="s">
        <v>129</v>
      </c>
      <c r="C23" s="182" t="s">
        <v>130</v>
      </c>
      <c r="D23" s="272" t="s">
        <v>131</v>
      </c>
      <c r="E23" s="305"/>
      <c r="F23" s="30" t="s">
        <v>133</v>
      </c>
      <c r="G23" s="30" t="s">
        <v>132</v>
      </c>
      <c r="H23" s="31" t="s">
        <v>90</v>
      </c>
      <c r="I23" s="130"/>
    </row>
    <row r="24" spans="1:10" ht="15" customHeight="1">
      <c r="B24" s="32" t="s">
        <v>160</v>
      </c>
      <c r="C24" s="33" t="s">
        <v>146</v>
      </c>
      <c r="D24" s="238" t="s">
        <v>161</v>
      </c>
      <c r="E24" s="239"/>
      <c r="F24" s="34">
        <v>8500</v>
      </c>
      <c r="G24" s="35">
        <v>6115</v>
      </c>
      <c r="H24" s="36">
        <v>6115</v>
      </c>
      <c r="I24" s="131"/>
    </row>
    <row r="25" spans="1:10" ht="15" customHeight="1">
      <c r="B25" s="37" t="s">
        <v>182</v>
      </c>
      <c r="C25" s="38" t="s">
        <v>146</v>
      </c>
      <c r="D25" s="176" t="s">
        <v>148</v>
      </c>
      <c r="E25" s="177"/>
      <c r="F25" s="39" t="s">
        <v>149</v>
      </c>
      <c r="G25" s="39" t="s">
        <v>150</v>
      </c>
      <c r="H25" s="40">
        <v>4200</v>
      </c>
      <c r="I25" s="132"/>
    </row>
    <row r="26" spans="1:10" ht="15" customHeight="1">
      <c r="B26" s="37"/>
      <c r="C26" s="38"/>
      <c r="D26" s="176"/>
      <c r="E26" s="177"/>
      <c r="F26" s="39"/>
      <c r="G26" s="39"/>
      <c r="H26" s="40"/>
      <c r="I26" s="132"/>
    </row>
    <row r="27" spans="1:10" ht="15" customHeight="1" thickBot="1">
      <c r="B27" s="269" t="s">
        <v>67</v>
      </c>
      <c r="C27" s="270"/>
      <c r="D27" s="270"/>
      <c r="E27" s="271"/>
      <c r="F27" s="41">
        <v>8500</v>
      </c>
      <c r="G27" s="41">
        <v>6115</v>
      </c>
      <c r="H27" s="42">
        <v>10315</v>
      </c>
      <c r="I27" s="131"/>
    </row>
    <row r="28" spans="1:10" ht="15" customHeight="1" thickTop="1">
      <c r="B28" s="21"/>
      <c r="C28" s="10"/>
      <c r="D28" s="43"/>
      <c r="E28" s="10"/>
      <c r="F28" s="10"/>
      <c r="G28" s="10"/>
      <c r="H28" s="44"/>
      <c r="I28" s="10"/>
    </row>
    <row r="29" spans="1:10" ht="15" customHeight="1">
      <c r="B29" s="216" t="s">
        <v>2</v>
      </c>
      <c r="C29" s="235"/>
      <c r="D29" s="217"/>
      <c r="E29" s="16"/>
      <c r="F29" s="45" t="s">
        <v>91</v>
      </c>
      <c r="G29" s="233" t="s">
        <v>171</v>
      </c>
      <c r="H29" s="234"/>
      <c r="I29" s="133"/>
    </row>
    <row r="30" spans="1:10" ht="15" customHeight="1">
      <c r="B30" s="224" t="s">
        <v>89</v>
      </c>
      <c r="C30" s="225"/>
      <c r="D30" s="46">
        <v>6000000</v>
      </c>
      <c r="E30" s="47"/>
      <c r="F30" s="48" t="s">
        <v>3</v>
      </c>
      <c r="G30" s="221" t="s">
        <v>179</v>
      </c>
      <c r="H30" s="222"/>
      <c r="I30" s="124"/>
    </row>
    <row r="31" spans="1:10" ht="15" customHeight="1">
      <c r="B31" s="226" t="s">
        <v>65</v>
      </c>
      <c r="C31" s="227"/>
      <c r="D31" s="49">
        <v>4200000</v>
      </c>
      <c r="E31" s="47"/>
      <c r="F31" s="48" t="s">
        <v>4</v>
      </c>
      <c r="G31" s="221" t="s">
        <v>180</v>
      </c>
      <c r="H31" s="222"/>
      <c r="I31" s="124"/>
    </row>
    <row r="32" spans="1:10" ht="15" customHeight="1">
      <c r="B32" s="224" t="s">
        <v>88</v>
      </c>
      <c r="C32" s="225"/>
      <c r="D32" s="50">
        <v>0.7</v>
      </c>
      <c r="E32" s="47"/>
      <c r="F32" s="48" t="s">
        <v>5</v>
      </c>
      <c r="G32" s="221" t="s">
        <v>50</v>
      </c>
      <c r="H32" s="222"/>
      <c r="I32" s="124"/>
    </row>
    <row r="33" spans="2:11" ht="15" customHeight="1">
      <c r="B33" s="224" t="s">
        <v>153</v>
      </c>
      <c r="C33" s="225"/>
      <c r="D33" s="50">
        <v>0.72413793103448276</v>
      </c>
      <c r="E33" s="47"/>
      <c r="F33" s="48" t="s">
        <v>60</v>
      </c>
      <c r="G33" s="231">
        <v>43795</v>
      </c>
      <c r="H33" s="232"/>
      <c r="I33" s="124"/>
    </row>
    <row r="34" spans="2:11" ht="15" customHeight="1">
      <c r="B34" s="224" t="s">
        <v>108</v>
      </c>
      <c r="C34" s="225"/>
      <c r="D34" s="51">
        <v>0.7</v>
      </c>
      <c r="E34" s="47"/>
      <c r="F34" s="48" t="s">
        <v>57</v>
      </c>
      <c r="G34" s="172">
        <v>21131</v>
      </c>
      <c r="H34" s="173"/>
      <c r="I34" s="124"/>
    </row>
    <row r="35" spans="2:11" ht="15" customHeight="1">
      <c r="B35" s="224" t="s">
        <v>87</v>
      </c>
      <c r="C35" s="225"/>
      <c r="D35" s="50">
        <v>0.30000000000000004</v>
      </c>
      <c r="E35" s="47"/>
      <c r="F35" s="48" t="s">
        <v>68</v>
      </c>
      <c r="G35" s="221">
        <v>2018</v>
      </c>
      <c r="H35" s="222"/>
      <c r="I35" s="124"/>
    </row>
    <row r="36" spans="2:11" ht="14.4">
      <c r="B36" s="224" t="s">
        <v>86</v>
      </c>
      <c r="C36" s="225"/>
      <c r="D36" s="46">
        <v>6000000</v>
      </c>
      <c r="E36" s="47"/>
      <c r="F36" s="48" t="s">
        <v>58</v>
      </c>
      <c r="G36" s="221" t="s">
        <v>162</v>
      </c>
      <c r="H36" s="222"/>
      <c r="I36" s="124"/>
    </row>
    <row r="37" spans="2:11" ht="12.75" customHeight="1">
      <c r="B37" s="224" t="s">
        <v>85</v>
      </c>
      <c r="C37" s="225"/>
      <c r="D37" s="46">
        <v>5800000</v>
      </c>
      <c r="E37" s="47"/>
      <c r="F37" s="48" t="s">
        <v>59</v>
      </c>
      <c r="G37" s="221" t="s">
        <v>163</v>
      </c>
      <c r="H37" s="222"/>
      <c r="I37" s="124"/>
    </row>
    <row r="38" spans="2:11" ht="12.75" customHeight="1">
      <c r="B38" s="350" t="s">
        <v>144</v>
      </c>
      <c r="C38" s="351"/>
      <c r="D38" s="354" t="s">
        <v>164</v>
      </c>
      <c r="E38" s="47"/>
      <c r="F38" s="52" t="s">
        <v>114</v>
      </c>
      <c r="G38" s="303" t="s">
        <v>181</v>
      </c>
      <c r="H38" s="304"/>
      <c r="I38" s="134"/>
    </row>
    <row r="39" spans="2:11" ht="44.25" customHeight="1">
      <c r="B39" s="352"/>
      <c r="C39" s="353"/>
      <c r="D39" s="355"/>
      <c r="E39" s="47"/>
      <c r="F39" s="53" t="s">
        <v>70</v>
      </c>
      <c r="G39" s="245" t="s">
        <v>205</v>
      </c>
      <c r="H39" s="246"/>
      <c r="I39" s="135"/>
    </row>
    <row r="40" spans="2:11" ht="15" customHeight="1">
      <c r="B40" s="350" t="s">
        <v>104</v>
      </c>
      <c r="C40" s="351"/>
      <c r="D40" s="356">
        <v>44543</v>
      </c>
      <c r="E40" s="54"/>
      <c r="F40" s="48" t="s">
        <v>159</v>
      </c>
      <c r="G40" s="247">
        <v>123456</v>
      </c>
      <c r="H40" s="248"/>
      <c r="I40" s="124"/>
    </row>
    <row r="41" spans="2:11" ht="29.25" customHeight="1">
      <c r="B41" s="352"/>
      <c r="C41" s="353"/>
      <c r="D41" s="357"/>
      <c r="E41" s="55"/>
      <c r="F41" s="48" t="s">
        <v>158</v>
      </c>
      <c r="G41" s="249" t="s">
        <v>206</v>
      </c>
      <c r="H41" s="250"/>
      <c r="I41" s="124"/>
    </row>
    <row r="42" spans="2:11" s="3" customFormat="1" ht="15" customHeight="1">
      <c r="B42" s="56"/>
      <c r="C42" s="55"/>
      <c r="D42" s="55"/>
      <c r="E42" s="55"/>
      <c r="F42" s="57"/>
      <c r="G42" s="57"/>
      <c r="H42" s="58"/>
      <c r="I42" s="55"/>
      <c r="K42" s="120"/>
    </row>
    <row r="43" spans="2:11" s="3" customFormat="1" ht="15" customHeight="1">
      <c r="B43" s="226" t="s">
        <v>6</v>
      </c>
      <c r="C43" s="227"/>
      <c r="D43" s="59">
        <v>4200000</v>
      </c>
      <c r="E43" s="55"/>
      <c r="F43" s="60" t="s">
        <v>10</v>
      </c>
      <c r="G43" s="260">
        <v>36</v>
      </c>
      <c r="H43" s="261"/>
      <c r="I43" s="136"/>
      <c r="K43" s="120"/>
    </row>
    <row r="44" spans="2:11" s="3" customFormat="1" ht="51" customHeight="1">
      <c r="B44" s="226" t="s">
        <v>84</v>
      </c>
      <c r="C44" s="227"/>
      <c r="D44" s="61">
        <v>0</v>
      </c>
      <c r="E44" s="55"/>
      <c r="F44" s="60" t="s">
        <v>12</v>
      </c>
      <c r="G44" s="343" t="s">
        <v>178</v>
      </c>
      <c r="H44" s="344"/>
      <c r="I44" s="136"/>
      <c r="K44" s="120"/>
    </row>
    <row r="45" spans="2:11" s="3" customFormat="1" ht="15" customHeight="1">
      <c r="B45" s="226" t="s">
        <v>7</v>
      </c>
      <c r="C45" s="227"/>
      <c r="D45" s="62">
        <v>7500</v>
      </c>
      <c r="E45" s="55"/>
      <c r="F45" s="60" t="s">
        <v>66</v>
      </c>
      <c r="G45" s="251">
        <v>135029.75226068438</v>
      </c>
      <c r="H45" s="252"/>
      <c r="I45" s="137"/>
      <c r="K45" s="120"/>
    </row>
    <row r="46" spans="2:11" s="3" customFormat="1" ht="15" customHeight="1">
      <c r="B46" s="226" t="s">
        <v>8</v>
      </c>
      <c r="C46" s="227"/>
      <c r="D46" s="62">
        <v>4200</v>
      </c>
      <c r="E46" s="55"/>
      <c r="F46" s="60" t="s">
        <v>11</v>
      </c>
      <c r="G46" s="345" t="s">
        <v>52</v>
      </c>
      <c r="H46" s="346"/>
      <c r="I46" s="138"/>
      <c r="K46" s="120"/>
    </row>
    <row r="47" spans="2:11" s="3" customFormat="1" ht="15" customHeight="1">
      <c r="B47" s="226" t="s">
        <v>120</v>
      </c>
      <c r="C47" s="227"/>
      <c r="D47" s="59">
        <v>24500</v>
      </c>
      <c r="E47" s="55"/>
      <c r="F47" s="60" t="s">
        <v>40</v>
      </c>
      <c r="G47" s="178"/>
      <c r="H47" s="190" t="s">
        <v>52</v>
      </c>
      <c r="I47" s="138"/>
      <c r="K47" s="120"/>
    </row>
    <row r="48" spans="2:11" s="3" customFormat="1" ht="21.75" customHeight="1">
      <c r="B48" s="226" t="s">
        <v>9</v>
      </c>
      <c r="C48" s="227"/>
      <c r="D48" s="59">
        <v>36200</v>
      </c>
      <c r="E48" s="55"/>
      <c r="F48" s="55"/>
      <c r="G48" s="55"/>
      <c r="H48" s="63"/>
      <c r="I48" s="55"/>
      <c r="K48" s="120"/>
    </row>
    <row r="49" spans="1:11" s="3" customFormat="1" ht="2.25" customHeight="1">
      <c r="B49" s="64"/>
      <c r="C49" s="65"/>
      <c r="D49" s="65"/>
      <c r="E49" s="57"/>
      <c r="F49" s="57"/>
      <c r="G49" s="57"/>
      <c r="H49" s="58"/>
      <c r="I49" s="55"/>
      <c r="K49" s="120"/>
    </row>
    <row r="50" spans="1:11" s="55" customFormat="1" ht="5.25" customHeight="1">
      <c r="B50" s="56"/>
      <c r="H50" s="63"/>
      <c r="K50" s="128"/>
    </row>
    <row r="51" spans="1:11" ht="30" customHeight="1">
      <c r="B51" s="347" t="s">
        <v>83</v>
      </c>
      <c r="C51" s="348"/>
      <c r="D51" s="348"/>
      <c r="E51" s="348"/>
      <c r="F51" s="349"/>
      <c r="G51" s="66" t="s">
        <v>154</v>
      </c>
      <c r="H51" s="67">
        <v>4200000</v>
      </c>
      <c r="I51" s="139"/>
    </row>
    <row r="52" spans="1:11" ht="30" customHeight="1">
      <c r="B52" s="262" t="s">
        <v>82</v>
      </c>
      <c r="C52" s="263"/>
      <c r="D52" s="263"/>
      <c r="E52" s="263"/>
      <c r="F52" s="264"/>
      <c r="G52" s="68" t="s">
        <v>81</v>
      </c>
      <c r="H52" s="69">
        <v>661071.08138463786</v>
      </c>
      <c r="I52" s="140"/>
    </row>
    <row r="53" spans="1:11" ht="30" customHeight="1">
      <c r="B53" s="56"/>
      <c r="C53" s="55"/>
      <c r="D53" s="55"/>
      <c r="E53" s="55"/>
      <c r="F53" s="54"/>
      <c r="G53" s="68" t="s">
        <v>56</v>
      </c>
      <c r="H53" s="67">
        <v>4861071.0813846383</v>
      </c>
      <c r="I53" s="139"/>
    </row>
    <row r="54" spans="1:11" ht="30" customHeight="1">
      <c r="B54" s="70"/>
      <c r="C54" s="57"/>
      <c r="D54" s="71" t="s">
        <v>174</v>
      </c>
      <c r="E54" s="72"/>
      <c r="F54" s="73" t="s">
        <v>175</v>
      </c>
      <c r="G54" s="68" t="s">
        <v>80</v>
      </c>
      <c r="H54" s="74"/>
      <c r="I54" s="141"/>
    </row>
    <row r="55" spans="1:11" ht="30" customHeight="1">
      <c r="B55" s="265" t="s">
        <v>79</v>
      </c>
      <c r="C55" s="266"/>
      <c r="D55" s="75"/>
      <c r="E55" s="76"/>
      <c r="F55" s="77"/>
      <c r="G55" s="267" t="s">
        <v>78</v>
      </c>
      <c r="H55" s="268"/>
      <c r="I55" s="142"/>
    </row>
    <row r="56" spans="1:11" ht="33.75" customHeight="1">
      <c r="B56" s="56"/>
      <c r="C56" s="55"/>
      <c r="D56" s="78"/>
      <c r="E56" s="55"/>
      <c r="F56" s="79"/>
      <c r="G56" s="253"/>
      <c r="H56" s="254"/>
      <c r="I56" s="143"/>
    </row>
    <row r="57" spans="1:11" s="126" customFormat="1" ht="25.5" customHeight="1">
      <c r="A57" s="125"/>
      <c r="B57" s="80"/>
      <c r="C57" s="81"/>
      <c r="D57" s="81"/>
      <c r="E57" s="81"/>
      <c r="F57" s="82"/>
      <c r="G57" s="255"/>
      <c r="H57" s="256"/>
      <c r="I57" s="143"/>
      <c r="J57" s="125"/>
    </row>
    <row r="58" spans="1:11" s="128" customFormat="1" ht="15" customHeight="1" thickBot="1">
      <c r="A58" s="55"/>
      <c r="B58" s="83"/>
      <c r="C58" s="84"/>
      <c r="D58" s="84"/>
      <c r="E58" s="84"/>
      <c r="F58" s="84"/>
      <c r="G58" s="84"/>
      <c r="H58" s="85"/>
      <c r="I58" s="55"/>
      <c r="J58" s="55"/>
    </row>
    <row r="59" spans="1:11" ht="15" customHeight="1">
      <c r="B59" s="257" t="s">
        <v>199</v>
      </c>
      <c r="C59" s="258"/>
      <c r="D59" s="258"/>
      <c r="E59" s="258"/>
      <c r="F59" s="258"/>
      <c r="G59" s="258"/>
      <c r="H59" s="259"/>
      <c r="I59" s="144"/>
      <c r="J59" s="145"/>
    </row>
    <row r="60" spans="1:11" ht="15" customHeight="1">
      <c r="B60" s="218" t="s">
        <v>77</v>
      </c>
      <c r="C60" s="219"/>
      <c r="D60" s="219"/>
      <c r="E60" s="219"/>
      <c r="F60" s="219"/>
      <c r="G60" s="219"/>
      <c r="H60" s="220"/>
      <c r="I60" s="121"/>
    </row>
    <row r="61" spans="1:11" ht="15" customHeight="1">
      <c r="B61" s="269" t="s">
        <v>13</v>
      </c>
      <c r="C61" s="270"/>
      <c r="D61" s="270"/>
      <c r="E61" s="271"/>
      <c r="F61" s="272" t="s">
        <v>76</v>
      </c>
      <c r="G61" s="273"/>
      <c r="H61" s="274"/>
      <c r="I61" s="146"/>
      <c r="J61" s="16"/>
    </row>
    <row r="62" spans="1:11" ht="15" customHeight="1">
      <c r="B62" s="200" t="s">
        <v>14</v>
      </c>
      <c r="C62" s="201"/>
      <c r="D62" s="202" t="s">
        <v>51</v>
      </c>
      <c r="E62" s="203"/>
      <c r="F62" s="191" t="s">
        <v>183</v>
      </c>
      <c r="G62" s="192"/>
      <c r="H62" s="193"/>
      <c r="I62" s="118"/>
      <c r="J62" s="147"/>
    </row>
    <row r="63" spans="1:11" ht="15" customHeight="1">
      <c r="B63" s="200" t="s">
        <v>155</v>
      </c>
      <c r="C63" s="201"/>
      <c r="D63" s="202" t="s">
        <v>51</v>
      </c>
      <c r="E63" s="203"/>
      <c r="F63" s="194"/>
      <c r="G63" s="195"/>
      <c r="H63" s="196"/>
      <c r="I63" s="118"/>
      <c r="J63" s="147"/>
    </row>
    <row r="64" spans="1:11" ht="15" customHeight="1">
      <c r="B64" s="200" t="s">
        <v>42</v>
      </c>
      <c r="C64" s="201"/>
      <c r="D64" s="204">
        <v>1100000</v>
      </c>
      <c r="E64" s="205"/>
      <c r="F64" s="194"/>
      <c r="G64" s="195"/>
      <c r="H64" s="196"/>
      <c r="I64" s="118"/>
      <c r="J64" s="147"/>
    </row>
    <row r="65" spans="2:10" ht="15" customHeight="1">
      <c r="B65" s="200" t="s">
        <v>15</v>
      </c>
      <c r="C65" s="201"/>
      <c r="D65" s="204">
        <v>957000</v>
      </c>
      <c r="E65" s="205"/>
      <c r="F65" s="194"/>
      <c r="G65" s="195"/>
      <c r="H65" s="196"/>
      <c r="I65" s="118"/>
      <c r="J65" s="147"/>
    </row>
    <row r="66" spans="2:10" ht="15" customHeight="1">
      <c r="B66" s="200" t="s">
        <v>16</v>
      </c>
      <c r="C66" s="201"/>
      <c r="D66" s="206">
        <v>574200</v>
      </c>
      <c r="E66" s="207"/>
      <c r="F66" s="194"/>
      <c r="G66" s="195"/>
      <c r="H66" s="196"/>
      <c r="I66" s="118"/>
      <c r="J66" s="147"/>
    </row>
    <row r="67" spans="2:10" ht="15" customHeight="1">
      <c r="B67" s="200" t="s">
        <v>17</v>
      </c>
      <c r="C67" s="201"/>
      <c r="D67" s="204">
        <v>435443</v>
      </c>
      <c r="E67" s="205"/>
      <c r="F67" s="194"/>
      <c r="G67" s="195"/>
      <c r="H67" s="196"/>
      <c r="I67" s="118"/>
      <c r="J67" s="147"/>
    </row>
    <row r="68" spans="2:10" ht="15" customHeight="1">
      <c r="B68" s="200" t="s">
        <v>18</v>
      </c>
      <c r="C68" s="201"/>
      <c r="D68" s="206">
        <v>135029.75226068438</v>
      </c>
      <c r="E68" s="207"/>
      <c r="F68" s="194"/>
      <c r="G68" s="195"/>
      <c r="H68" s="196"/>
      <c r="I68" s="118"/>
      <c r="J68" s="147"/>
    </row>
    <row r="69" spans="2:10" ht="15" customHeight="1">
      <c r="B69" s="200" t="s">
        <v>124</v>
      </c>
      <c r="C69" s="201"/>
      <c r="D69" s="208">
        <v>570472.75226068438</v>
      </c>
      <c r="E69" s="209"/>
      <c r="F69" s="194"/>
      <c r="G69" s="195"/>
      <c r="H69" s="196"/>
      <c r="I69" s="118"/>
      <c r="J69" s="147"/>
    </row>
    <row r="70" spans="2:10" ht="15" customHeight="1">
      <c r="B70" s="200" t="s">
        <v>125</v>
      </c>
      <c r="C70" s="201"/>
      <c r="D70" s="208">
        <v>3727.247739315615</v>
      </c>
      <c r="E70" s="209"/>
      <c r="F70" s="194"/>
      <c r="G70" s="195"/>
      <c r="H70" s="196"/>
      <c r="I70" s="118"/>
      <c r="J70" s="147"/>
    </row>
    <row r="71" spans="2:10" ht="15" customHeight="1">
      <c r="B71" s="200" t="s">
        <v>126</v>
      </c>
      <c r="C71" s="201"/>
      <c r="D71" s="210">
        <v>0.59610527926926271</v>
      </c>
      <c r="E71" s="211"/>
      <c r="F71" s="194"/>
      <c r="G71" s="195"/>
      <c r="H71" s="196"/>
      <c r="I71" s="118"/>
      <c r="J71" s="147"/>
    </row>
    <row r="72" spans="2:10" ht="43.5" customHeight="1">
      <c r="B72" s="200" t="s">
        <v>127</v>
      </c>
      <c r="C72" s="201"/>
      <c r="D72" s="206">
        <v>386527.24773931562</v>
      </c>
      <c r="E72" s="207"/>
      <c r="F72" s="197"/>
      <c r="G72" s="198"/>
      <c r="H72" s="199"/>
      <c r="I72" s="118"/>
      <c r="J72" s="147"/>
    </row>
    <row r="73" spans="2:10" ht="15" customHeight="1">
      <c r="B73" s="86"/>
      <c r="C73" s="87"/>
      <c r="D73" s="88"/>
      <c r="E73" s="88"/>
      <c r="F73" s="169"/>
      <c r="G73" s="169"/>
      <c r="H73" s="170"/>
      <c r="I73" s="118"/>
      <c r="J73" s="147"/>
    </row>
    <row r="74" spans="2:10" ht="15" customHeight="1">
      <c r="B74" s="218" t="s">
        <v>134</v>
      </c>
      <c r="C74" s="291"/>
      <c r="D74" s="333">
        <v>42320</v>
      </c>
      <c r="E74" s="334"/>
      <c r="F74" s="334"/>
      <c r="G74" s="334"/>
      <c r="H74" s="335"/>
      <c r="I74" s="148"/>
      <c r="J74" s="147"/>
    </row>
    <row r="75" spans="2:10" ht="15" customHeight="1">
      <c r="B75" s="336" t="s">
        <v>135</v>
      </c>
      <c r="C75" s="337"/>
      <c r="D75" s="338"/>
      <c r="E75" s="339" t="s">
        <v>119</v>
      </c>
      <c r="F75" s="340"/>
      <c r="G75" s="339" t="s">
        <v>141</v>
      </c>
      <c r="H75" s="341"/>
      <c r="I75" s="148" t="s">
        <v>119</v>
      </c>
    </row>
    <row r="76" spans="2:10" ht="15" customHeight="1">
      <c r="B76" s="336" t="s">
        <v>136</v>
      </c>
      <c r="C76" s="337"/>
      <c r="D76" s="338"/>
      <c r="E76" s="339" t="s">
        <v>119</v>
      </c>
      <c r="F76" s="342"/>
      <c r="G76" s="342"/>
      <c r="H76" s="341"/>
      <c r="I76" s="148" t="s">
        <v>54</v>
      </c>
    </row>
    <row r="77" spans="2:10" ht="15" customHeight="1">
      <c r="B77" s="319" t="s">
        <v>143</v>
      </c>
      <c r="C77" s="320"/>
      <c r="D77" s="321"/>
      <c r="E77" s="325" t="s">
        <v>157</v>
      </c>
      <c r="F77" s="326"/>
      <c r="G77" s="326"/>
      <c r="H77" s="327"/>
      <c r="I77" s="148"/>
    </row>
    <row r="78" spans="2:10" ht="15" customHeight="1">
      <c r="B78" s="322"/>
      <c r="C78" s="323"/>
      <c r="D78" s="324"/>
      <c r="E78" s="328"/>
      <c r="F78" s="329"/>
      <c r="G78" s="329"/>
      <c r="H78" s="330"/>
      <c r="I78" s="148"/>
    </row>
    <row r="79" spans="2:10" ht="15" customHeight="1">
      <c r="B79" s="319" t="s">
        <v>137</v>
      </c>
      <c r="C79" s="320"/>
      <c r="D79" s="321"/>
      <c r="E79" s="325"/>
      <c r="F79" s="326"/>
      <c r="G79" s="326"/>
      <c r="H79" s="327"/>
      <c r="I79" s="148"/>
    </row>
    <row r="80" spans="2:10" ht="15" customHeight="1">
      <c r="B80" s="322"/>
      <c r="C80" s="323"/>
      <c r="D80" s="324"/>
      <c r="E80" s="328"/>
      <c r="F80" s="329"/>
      <c r="G80" s="329"/>
      <c r="H80" s="330"/>
      <c r="I80" s="148"/>
    </row>
    <row r="81" spans="1:10" ht="15" customHeight="1">
      <c r="B81" s="185"/>
      <c r="C81" s="186"/>
      <c r="D81" s="186"/>
      <c r="E81" s="89"/>
      <c r="F81" s="89"/>
      <c r="G81" s="89"/>
      <c r="H81" s="90"/>
      <c r="I81" s="148"/>
    </row>
    <row r="82" spans="1:10" ht="15" customHeight="1">
      <c r="B82" s="218" t="s">
        <v>19</v>
      </c>
      <c r="C82" s="219"/>
      <c r="D82" s="219"/>
      <c r="E82" s="219"/>
      <c r="F82" s="219"/>
      <c r="G82" s="219"/>
      <c r="H82" s="220"/>
      <c r="I82" s="148"/>
    </row>
    <row r="83" spans="1:10" s="128" customFormat="1" ht="15" customHeight="1">
      <c r="A83" s="55"/>
      <c r="B83" s="242" t="s">
        <v>26</v>
      </c>
      <c r="C83" s="243"/>
      <c r="D83" s="243"/>
      <c r="E83" s="243"/>
      <c r="F83" s="243"/>
      <c r="G83" s="243"/>
      <c r="H83" s="244"/>
      <c r="I83" s="110"/>
      <c r="J83" s="149"/>
    </row>
    <row r="84" spans="1:10" s="128" customFormat="1" ht="15" customHeight="1">
      <c r="A84" s="55"/>
      <c r="B84" s="28" t="s">
        <v>20</v>
      </c>
      <c r="C84" s="221" t="s">
        <v>53</v>
      </c>
      <c r="D84" s="223"/>
      <c r="E84" s="297"/>
      <c r="F84" s="8" t="s">
        <v>21</v>
      </c>
      <c r="G84" s="221" t="s">
        <v>55</v>
      </c>
      <c r="H84" s="222"/>
      <c r="I84" s="124"/>
      <c r="J84" s="123"/>
    </row>
    <row r="85" spans="1:10" s="128" customFormat="1" ht="138.75" customHeight="1">
      <c r="A85" s="55"/>
      <c r="B85" s="91" t="s">
        <v>22</v>
      </c>
      <c r="C85" s="228" t="s">
        <v>176</v>
      </c>
      <c r="D85" s="229"/>
      <c r="E85" s="229"/>
      <c r="F85" s="229"/>
      <c r="G85" s="229"/>
      <c r="H85" s="230"/>
      <c r="I85" s="118"/>
      <c r="J85" s="147"/>
    </row>
    <row r="86" spans="1:10" s="128" customFormat="1" ht="15" customHeight="1">
      <c r="A86" s="55"/>
      <c r="B86" s="21"/>
      <c r="C86" s="10"/>
      <c r="D86" s="10"/>
      <c r="E86" s="10"/>
      <c r="F86" s="10"/>
      <c r="G86" s="10"/>
      <c r="H86" s="44"/>
      <c r="I86" s="10"/>
      <c r="J86" s="10"/>
    </row>
    <row r="87" spans="1:10" s="128" customFormat="1" ht="15" customHeight="1">
      <c r="A87" s="55"/>
      <c r="B87" s="242" t="s">
        <v>24</v>
      </c>
      <c r="C87" s="243"/>
      <c r="D87" s="243"/>
      <c r="E87" s="243"/>
      <c r="F87" s="243"/>
      <c r="G87" s="243"/>
      <c r="H87" s="244"/>
      <c r="I87" s="110"/>
      <c r="J87" s="55"/>
    </row>
    <row r="88" spans="1:10" s="150" customFormat="1" ht="28.8">
      <c r="A88" s="143"/>
      <c r="B88" s="92" t="s">
        <v>63</v>
      </c>
      <c r="C88" s="30" t="s">
        <v>41</v>
      </c>
      <c r="D88" s="180" t="s">
        <v>23</v>
      </c>
      <c r="E88" s="188"/>
      <c r="F88" s="30" t="s">
        <v>75</v>
      </c>
      <c r="G88" s="30" t="s">
        <v>74</v>
      </c>
      <c r="H88" s="31" t="s">
        <v>73</v>
      </c>
      <c r="I88" s="146"/>
      <c r="J88" s="143"/>
    </row>
    <row r="89" spans="1:10" s="128" customFormat="1" ht="15" customHeight="1">
      <c r="A89" s="55"/>
      <c r="B89" s="93" t="s">
        <v>172</v>
      </c>
      <c r="C89" s="94" t="s">
        <v>168</v>
      </c>
      <c r="D89" s="95">
        <v>6</v>
      </c>
      <c r="E89" s="96"/>
      <c r="F89" s="97">
        <v>476591.66666666669</v>
      </c>
      <c r="G89" s="97">
        <v>569578.16666666663</v>
      </c>
      <c r="H89" s="98">
        <v>1644751</v>
      </c>
      <c r="I89" s="151" t="s">
        <v>138</v>
      </c>
      <c r="J89" s="152"/>
    </row>
    <row r="90" spans="1:10" s="128" customFormat="1" ht="15" customHeight="1">
      <c r="A90" s="55"/>
      <c r="B90" s="93" t="s">
        <v>172</v>
      </c>
      <c r="C90" s="94" t="s">
        <v>169</v>
      </c>
      <c r="D90" s="95">
        <v>6</v>
      </c>
      <c r="E90" s="96"/>
      <c r="F90" s="97">
        <v>2669983</v>
      </c>
      <c r="G90" s="97">
        <v>1873674.6</v>
      </c>
      <c r="H90" s="98">
        <v>0</v>
      </c>
      <c r="I90" s="151" t="s">
        <v>139</v>
      </c>
      <c r="J90" s="152"/>
    </row>
    <row r="91" spans="1:10" s="128" customFormat="1" ht="15" customHeight="1">
      <c r="A91" s="55"/>
      <c r="B91" s="93" t="s">
        <v>170</v>
      </c>
      <c r="C91" s="94" t="s">
        <v>169</v>
      </c>
      <c r="D91" s="95">
        <v>6</v>
      </c>
      <c r="E91" s="96"/>
      <c r="F91" s="97">
        <v>3241059.5</v>
      </c>
      <c r="G91" s="97">
        <v>3399950</v>
      </c>
      <c r="H91" s="98">
        <v>0</v>
      </c>
      <c r="I91" s="151" t="s">
        <v>140</v>
      </c>
      <c r="J91" s="152"/>
    </row>
    <row r="92" spans="1:10" s="128" customFormat="1" ht="15" customHeight="1">
      <c r="A92" s="55"/>
      <c r="B92" s="93">
        <v>0</v>
      </c>
      <c r="C92" s="94">
        <v>0</v>
      </c>
      <c r="D92" s="95">
        <v>0</v>
      </c>
      <c r="E92" s="96"/>
      <c r="F92" s="97">
        <v>0</v>
      </c>
      <c r="G92" s="97">
        <v>0</v>
      </c>
      <c r="H92" s="98">
        <v>0</v>
      </c>
      <c r="I92" s="151" t="s">
        <v>141</v>
      </c>
      <c r="J92" s="152"/>
    </row>
    <row r="93" spans="1:10" s="128" customFormat="1" ht="15" customHeight="1">
      <c r="A93" s="55"/>
      <c r="B93" s="93">
        <v>0</v>
      </c>
      <c r="C93" s="94">
        <v>0</v>
      </c>
      <c r="D93" s="95">
        <v>0</v>
      </c>
      <c r="E93" s="96"/>
      <c r="F93" s="97">
        <v>0</v>
      </c>
      <c r="G93" s="97">
        <v>0</v>
      </c>
      <c r="H93" s="98">
        <v>0</v>
      </c>
      <c r="I93" s="151" t="s">
        <v>142</v>
      </c>
      <c r="J93" s="152"/>
    </row>
    <row r="94" spans="1:10" s="128" customFormat="1" ht="15" customHeight="1">
      <c r="A94" s="55"/>
      <c r="B94" s="279" t="s">
        <v>25</v>
      </c>
      <c r="C94" s="280"/>
      <c r="D94" s="280"/>
      <c r="E94" s="99"/>
      <c r="F94" s="100">
        <v>6387634.166666666</v>
      </c>
      <c r="G94" s="100">
        <v>5843202.7666666666</v>
      </c>
      <c r="H94" s="101">
        <v>1644751</v>
      </c>
      <c r="I94" s="153"/>
      <c r="J94" s="55"/>
    </row>
    <row r="95" spans="1:10" s="128" customFormat="1" ht="15" customHeight="1">
      <c r="A95" s="55"/>
      <c r="B95" s="282" t="s">
        <v>27</v>
      </c>
      <c r="C95" s="283"/>
      <c r="D95" s="283"/>
      <c r="E95" s="283"/>
      <c r="F95" s="283"/>
      <c r="G95" s="283"/>
      <c r="H95" s="284"/>
      <c r="I95" s="154"/>
      <c r="J95" s="155"/>
    </row>
    <row r="96" spans="1:10" s="128" customFormat="1" ht="15" customHeight="1">
      <c r="A96" s="55"/>
      <c r="B96" s="21"/>
      <c r="C96" s="10"/>
      <c r="D96" s="10"/>
      <c r="E96" s="10"/>
      <c r="F96" s="10"/>
      <c r="G96" s="10"/>
      <c r="H96" s="44"/>
      <c r="I96" s="10"/>
      <c r="J96" s="10"/>
    </row>
    <row r="97" spans="1:10" s="128" customFormat="1" ht="15" hidden="1" customHeight="1">
      <c r="A97" s="55"/>
      <c r="B97" s="285" t="s">
        <v>72</v>
      </c>
      <c r="C97" s="286"/>
      <c r="D97" s="286"/>
      <c r="E97" s="286"/>
      <c r="F97" s="286"/>
      <c r="G97" s="286"/>
      <c r="H97" s="287"/>
      <c r="I97" s="119"/>
      <c r="J97" s="16"/>
    </row>
    <row r="98" spans="1:10" s="128" customFormat="1" ht="15" hidden="1" customHeight="1">
      <c r="A98" s="55"/>
      <c r="B98" s="269" t="s">
        <v>28</v>
      </c>
      <c r="C98" s="271"/>
      <c r="D98" s="288" t="s">
        <v>29</v>
      </c>
      <c r="E98" s="270"/>
      <c r="F98" s="271"/>
      <c r="G98" s="288" t="s">
        <v>30</v>
      </c>
      <c r="H98" s="289"/>
      <c r="I98" s="26"/>
      <c r="J98" s="16"/>
    </row>
    <row r="99" spans="1:10" s="128" customFormat="1" ht="15" hidden="1" customHeight="1">
      <c r="A99" s="55"/>
      <c r="B99" s="275"/>
      <c r="C99" s="276"/>
      <c r="D99" s="277"/>
      <c r="E99" s="278"/>
      <c r="F99" s="276"/>
      <c r="G99" s="277"/>
      <c r="H99" s="281"/>
      <c r="I99" s="156"/>
      <c r="J99" s="123"/>
    </row>
    <row r="100" spans="1:10" s="128" customFormat="1" ht="15" hidden="1" customHeight="1">
      <c r="A100" s="55"/>
      <c r="B100" s="275"/>
      <c r="C100" s="276"/>
      <c r="D100" s="277"/>
      <c r="E100" s="278"/>
      <c r="F100" s="276"/>
      <c r="G100" s="277"/>
      <c r="H100" s="281"/>
      <c r="I100" s="156"/>
      <c r="J100" s="123"/>
    </row>
    <row r="101" spans="1:10" s="128" customFormat="1" ht="15" hidden="1" customHeight="1">
      <c r="A101" s="55"/>
      <c r="B101" s="275"/>
      <c r="C101" s="276"/>
      <c r="D101" s="277"/>
      <c r="E101" s="278"/>
      <c r="F101" s="276"/>
      <c r="G101" s="277"/>
      <c r="H101" s="281"/>
      <c r="I101" s="156"/>
      <c r="J101" s="123"/>
    </row>
    <row r="102" spans="1:10" s="128" customFormat="1" ht="15" hidden="1" customHeight="1">
      <c r="A102" s="55"/>
      <c r="B102" s="275"/>
      <c r="C102" s="276"/>
      <c r="D102" s="277"/>
      <c r="E102" s="278"/>
      <c r="F102" s="276"/>
      <c r="G102" s="277"/>
      <c r="H102" s="281"/>
      <c r="I102" s="156"/>
      <c r="J102" s="123"/>
    </row>
    <row r="103" spans="1:10" s="128" customFormat="1" ht="15" hidden="1" customHeight="1">
      <c r="A103" s="55"/>
      <c r="B103" s="275"/>
      <c r="C103" s="276"/>
      <c r="D103" s="277"/>
      <c r="E103" s="278"/>
      <c r="F103" s="276"/>
      <c r="G103" s="277"/>
      <c r="H103" s="281"/>
      <c r="I103" s="156"/>
      <c r="J103" s="123"/>
    </row>
    <row r="104" spans="1:10" s="128" customFormat="1" ht="15" hidden="1" customHeight="1">
      <c r="A104" s="55"/>
      <c r="B104" s="21"/>
      <c r="C104" s="10"/>
      <c r="D104" s="10"/>
      <c r="E104" s="10"/>
      <c r="F104" s="10"/>
      <c r="G104" s="10"/>
      <c r="H104" s="44"/>
      <c r="I104" s="10"/>
      <c r="J104" s="55"/>
    </row>
    <row r="105" spans="1:10" s="128" customFormat="1" ht="15" customHeight="1">
      <c r="A105" s="55"/>
      <c r="B105" s="218" t="s">
        <v>71</v>
      </c>
      <c r="C105" s="219"/>
      <c r="D105" s="219"/>
      <c r="E105" s="219"/>
      <c r="F105" s="219"/>
      <c r="G105" s="219"/>
      <c r="H105" s="220"/>
      <c r="I105" s="121"/>
      <c r="J105" s="55"/>
    </row>
    <row r="106" spans="1:10" s="128" customFormat="1" ht="48" customHeight="1">
      <c r="A106" s="55"/>
      <c r="B106" s="313" t="s">
        <v>177</v>
      </c>
      <c r="C106" s="314"/>
      <c r="D106" s="314"/>
      <c r="E106" s="314"/>
      <c r="F106" s="314"/>
      <c r="G106" s="314"/>
      <c r="H106" s="315"/>
      <c r="I106" s="157"/>
      <c r="J106" s="158"/>
    </row>
    <row r="107" spans="1:10" s="128" customFormat="1" ht="15" customHeight="1">
      <c r="A107" s="55"/>
      <c r="B107" s="28" t="s">
        <v>31</v>
      </c>
      <c r="C107" s="233" t="s">
        <v>52</v>
      </c>
      <c r="D107" s="311"/>
      <c r="E107" s="311"/>
      <c r="F107" s="312"/>
      <c r="G107" s="182" t="s">
        <v>32</v>
      </c>
      <c r="H107" s="9"/>
      <c r="I107" s="123"/>
      <c r="J107" s="123"/>
    </row>
    <row r="108" spans="1:10" s="128" customFormat="1" ht="15" customHeight="1">
      <c r="A108" s="55"/>
      <c r="B108" s="28" t="s">
        <v>20</v>
      </c>
      <c r="C108" s="221"/>
      <c r="D108" s="223"/>
      <c r="E108" s="102"/>
      <c r="F108" s="8" t="s">
        <v>21</v>
      </c>
      <c r="G108" s="221"/>
      <c r="H108" s="222"/>
      <c r="I108" s="124"/>
      <c r="J108" s="123"/>
    </row>
    <row r="109" spans="1:10" s="128" customFormat="1" ht="58.5" customHeight="1">
      <c r="A109" s="55"/>
      <c r="B109" s="27" t="s">
        <v>35</v>
      </c>
      <c r="C109" s="298" t="s">
        <v>52</v>
      </c>
      <c r="D109" s="299"/>
      <c r="E109" s="299"/>
      <c r="F109" s="299"/>
      <c r="G109" s="299"/>
      <c r="H109" s="300"/>
      <c r="I109" s="118"/>
      <c r="J109" s="147"/>
    </row>
    <row r="110" spans="1:10" s="128" customFormat="1" ht="15" customHeight="1">
      <c r="A110" s="55"/>
      <c r="B110" s="103" t="s">
        <v>33</v>
      </c>
      <c r="C110" s="223" t="s">
        <v>105</v>
      </c>
      <c r="D110" s="223"/>
      <c r="E110" s="223"/>
      <c r="F110" s="297"/>
      <c r="G110" s="182" t="s">
        <v>32</v>
      </c>
      <c r="H110" s="9" t="s">
        <v>106</v>
      </c>
      <c r="I110" s="123"/>
      <c r="J110" s="123"/>
    </row>
    <row r="111" spans="1:10" s="128" customFormat="1" ht="15" customHeight="1">
      <c r="A111" s="55"/>
      <c r="B111" s="28" t="s">
        <v>20</v>
      </c>
      <c r="C111" s="221"/>
      <c r="D111" s="223"/>
      <c r="E111" s="102"/>
      <c r="F111" s="8" t="s">
        <v>21</v>
      </c>
      <c r="G111" s="221"/>
      <c r="H111" s="222"/>
      <c r="I111" s="124"/>
      <c r="J111" s="123"/>
    </row>
    <row r="112" spans="1:10" s="128" customFormat="1" ht="60.75" customHeight="1">
      <c r="A112" s="55"/>
      <c r="B112" s="27" t="s">
        <v>35</v>
      </c>
      <c r="C112" s="298" t="s">
        <v>52</v>
      </c>
      <c r="D112" s="299"/>
      <c r="E112" s="299"/>
      <c r="F112" s="299"/>
      <c r="G112" s="299"/>
      <c r="H112" s="300"/>
      <c r="I112" s="118"/>
      <c r="J112" s="147"/>
    </row>
    <row r="113" spans="1:10" s="128" customFormat="1" ht="15" customHeight="1">
      <c r="A113" s="55"/>
      <c r="B113" s="56"/>
      <c r="C113" s="55"/>
      <c r="D113" s="55"/>
      <c r="E113" s="55"/>
      <c r="F113" s="55"/>
      <c r="G113" s="55"/>
      <c r="H113" s="63"/>
      <c r="I113" s="55"/>
      <c r="J113" s="55"/>
    </row>
    <row r="114" spans="1:10" s="128" customFormat="1" ht="15" customHeight="1">
      <c r="A114" s="55"/>
      <c r="B114" s="218" t="s">
        <v>34</v>
      </c>
      <c r="C114" s="219"/>
      <c r="D114" s="219"/>
      <c r="E114" s="219"/>
      <c r="F114" s="219"/>
      <c r="G114" s="219"/>
      <c r="H114" s="220"/>
      <c r="I114" s="121"/>
      <c r="J114" s="55"/>
    </row>
    <row r="115" spans="1:10" s="128" customFormat="1" ht="159" customHeight="1">
      <c r="A115" s="55"/>
      <c r="B115" s="308" t="s">
        <v>173</v>
      </c>
      <c r="C115" s="309"/>
      <c r="D115" s="309"/>
      <c r="E115" s="309"/>
      <c r="F115" s="309"/>
      <c r="G115" s="309"/>
      <c r="H115" s="310"/>
      <c r="I115" s="2"/>
      <c r="J115" s="55"/>
    </row>
    <row r="116" spans="1:10" s="128" customFormat="1" ht="61.5" customHeight="1">
      <c r="A116" s="55"/>
      <c r="B116" s="301" t="s">
        <v>112</v>
      </c>
      <c r="C116" s="302"/>
      <c r="D116" s="316" t="s">
        <v>47</v>
      </c>
      <c r="E116" s="317"/>
      <c r="F116" s="302"/>
      <c r="G116" s="316" t="s">
        <v>113</v>
      </c>
      <c r="H116" s="318"/>
      <c r="I116" s="159"/>
      <c r="J116" s="16"/>
    </row>
    <row r="117" spans="1:10" s="128" customFormat="1" ht="15" customHeight="1" thickBot="1">
      <c r="A117" s="55"/>
      <c r="B117" s="104"/>
      <c r="C117" s="105"/>
      <c r="D117" s="105"/>
      <c r="E117" s="105"/>
      <c r="F117" s="106"/>
      <c r="G117" s="106"/>
      <c r="H117" s="107"/>
      <c r="I117" s="160"/>
      <c r="J117" s="160"/>
    </row>
    <row r="118" spans="1:10" s="128" customFormat="1" ht="15" customHeight="1">
      <c r="A118" s="55"/>
      <c r="B118" s="331" t="s">
        <v>199</v>
      </c>
      <c r="C118" s="258"/>
      <c r="D118" s="258"/>
      <c r="E118" s="258"/>
      <c r="F118" s="258"/>
      <c r="G118" s="258"/>
      <c r="H118" s="332"/>
      <c r="I118" s="144"/>
      <c r="J118" s="55"/>
    </row>
    <row r="119" spans="1:10" s="128" customFormat="1" ht="15" customHeight="1">
      <c r="A119" s="55"/>
      <c r="B119" s="290" t="s">
        <v>62</v>
      </c>
      <c r="C119" s="219"/>
      <c r="D119" s="219"/>
      <c r="E119" s="219"/>
      <c r="F119" s="219"/>
      <c r="G119" s="219"/>
      <c r="H119" s="291"/>
      <c r="I119" s="121"/>
      <c r="J119" s="160"/>
    </row>
    <row r="120" spans="1:10" s="128" customFormat="1" ht="212.25" customHeight="1">
      <c r="A120" s="55"/>
      <c r="B120" s="292" t="s">
        <v>39</v>
      </c>
      <c r="C120" s="243"/>
      <c r="D120" s="243"/>
      <c r="E120" s="243"/>
      <c r="F120" s="243"/>
      <c r="G120" s="243"/>
      <c r="H120" s="293"/>
      <c r="I120" s="110"/>
      <c r="J120" s="161"/>
    </row>
    <row r="121" spans="1:10" s="128" customFormat="1" ht="15" customHeight="1">
      <c r="A121" s="55"/>
      <c r="B121" s="108"/>
      <c r="C121" s="109"/>
      <c r="D121" s="109"/>
      <c r="E121" s="110"/>
      <c r="F121" s="109"/>
      <c r="G121" s="109"/>
      <c r="H121" s="111"/>
      <c r="I121" s="110"/>
      <c r="J121" s="161"/>
    </row>
    <row r="122" spans="1:10" s="128" customFormat="1" ht="124.5" customHeight="1">
      <c r="A122" s="55"/>
      <c r="B122" s="294" t="s">
        <v>36</v>
      </c>
      <c r="C122" s="295"/>
      <c r="D122" s="294" t="s">
        <v>36</v>
      </c>
      <c r="E122" s="296"/>
      <c r="F122" s="295"/>
      <c r="G122" s="294" t="s">
        <v>36</v>
      </c>
      <c r="H122" s="295"/>
      <c r="I122" s="162"/>
      <c r="J122" s="16"/>
    </row>
    <row r="123" spans="1:10" s="128" customFormat="1" ht="15" customHeight="1">
      <c r="A123" s="55"/>
      <c r="B123" s="288" t="s">
        <v>115</v>
      </c>
      <c r="C123" s="271"/>
      <c r="D123" s="288" t="s">
        <v>110</v>
      </c>
      <c r="E123" s="270"/>
      <c r="F123" s="271"/>
      <c r="G123" s="288" t="s">
        <v>111</v>
      </c>
      <c r="H123" s="271"/>
      <c r="I123" s="26"/>
      <c r="J123" s="16"/>
    </row>
    <row r="124" spans="1:10" s="128" customFormat="1" ht="15" customHeight="1">
      <c r="A124" s="55"/>
      <c r="B124" s="112"/>
      <c r="C124" s="26"/>
      <c r="D124" s="26"/>
      <c r="E124" s="16"/>
      <c r="F124" s="26"/>
      <c r="G124" s="26"/>
      <c r="H124" s="113"/>
      <c r="I124" s="26"/>
      <c r="J124" s="16"/>
    </row>
    <row r="125" spans="1:10" s="128" customFormat="1" ht="129.75" customHeight="1">
      <c r="A125" s="55"/>
      <c r="B125" s="294" t="s">
        <v>37</v>
      </c>
      <c r="C125" s="295"/>
      <c r="D125" s="294" t="s">
        <v>37</v>
      </c>
      <c r="E125" s="296"/>
      <c r="F125" s="295"/>
      <c r="G125" s="294" t="s">
        <v>38</v>
      </c>
      <c r="H125" s="295"/>
      <c r="I125" s="162"/>
      <c r="J125" s="16"/>
    </row>
    <row r="126" spans="1:10" s="128" customFormat="1" ht="15" customHeight="1">
      <c r="A126" s="55"/>
      <c r="B126" s="288" t="s">
        <v>109</v>
      </c>
      <c r="C126" s="271"/>
      <c r="D126" s="288" t="s">
        <v>107</v>
      </c>
      <c r="E126" s="270"/>
      <c r="F126" s="271"/>
      <c r="G126" s="288" t="s">
        <v>103</v>
      </c>
      <c r="H126" s="271"/>
      <c r="I126" s="26"/>
      <c r="J126" s="16"/>
    </row>
    <row r="127" spans="1:10" s="128" customFormat="1" ht="15" customHeight="1">
      <c r="A127" s="55"/>
      <c r="B127" s="114"/>
      <c r="C127" s="55"/>
      <c r="D127" s="55"/>
      <c r="E127" s="55"/>
      <c r="F127" s="55"/>
      <c r="G127" s="55"/>
      <c r="H127" s="54"/>
      <c r="I127" s="55"/>
      <c r="J127" s="55"/>
    </row>
    <row r="128" spans="1:10" s="128" customFormat="1" ht="15" customHeight="1">
      <c r="A128" s="55"/>
      <c r="B128" s="306" t="s">
        <v>69</v>
      </c>
      <c r="C128" s="307"/>
      <c r="D128" s="307"/>
      <c r="E128" s="307"/>
      <c r="F128" s="307"/>
      <c r="G128" s="307"/>
      <c r="H128" s="225"/>
      <c r="I128" s="163"/>
      <c r="J128" s="55"/>
    </row>
    <row r="129" spans="1:10" s="128" customFormat="1" ht="102" customHeight="1">
      <c r="A129" s="55"/>
      <c r="B129" s="183"/>
      <c r="C129" s="184"/>
      <c r="D129" s="184"/>
      <c r="E129" s="184"/>
      <c r="F129" s="184"/>
      <c r="G129" s="184"/>
      <c r="H129" s="174"/>
      <c r="I129" s="163"/>
      <c r="J129" s="55"/>
    </row>
    <row r="130" spans="1:10" s="128" customFormat="1" ht="25.5" customHeight="1">
      <c r="A130" s="55"/>
      <c r="B130" s="183"/>
      <c r="C130" s="184"/>
      <c r="D130" s="184"/>
      <c r="E130" s="184"/>
      <c r="F130" s="184"/>
      <c r="G130" s="184"/>
      <c r="H130" s="174"/>
      <c r="I130" s="163"/>
      <c r="J130" s="55"/>
    </row>
    <row r="131" spans="1:10" ht="15" customHeight="1"/>
    <row r="132" spans="1:10" ht="15" hidden="1" customHeight="1"/>
    <row r="133" spans="1:10" ht="15" hidden="1" customHeight="1"/>
    <row r="134" spans="1:10" ht="15" hidden="1" customHeight="1"/>
    <row r="135" spans="1:10" ht="15" hidden="1" customHeight="1"/>
    <row r="136" spans="1:10" ht="15" hidden="1" customHeight="1"/>
    <row r="137" spans="1:10" ht="15" hidden="1" customHeight="1"/>
    <row r="138" spans="1:10" ht="15" hidden="1" customHeight="1"/>
    <row r="139" spans="1:10" ht="15" hidden="1" customHeight="1"/>
    <row r="140" spans="1:10" ht="15" hidden="1" customHeight="1"/>
    <row r="141" spans="1:10" ht="15" hidden="1" customHeight="1"/>
    <row r="142" spans="1:10" ht="15" hidden="1" customHeight="1"/>
    <row r="143" spans="1:10" ht="15" hidden="1" customHeight="1"/>
    <row r="144" spans="1:10"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sheetData>
  <sheetProtection selectLockedCells="1"/>
  <mergeCells count="153">
    <mergeCell ref="C14:F14"/>
    <mergeCell ref="B79:D80"/>
    <mergeCell ref="E79:H80"/>
    <mergeCell ref="B82:H82"/>
    <mergeCell ref="B29:D29"/>
    <mergeCell ref="B74:C74"/>
    <mergeCell ref="D74:H74"/>
    <mergeCell ref="B75:D75"/>
    <mergeCell ref="E75:F75"/>
    <mergeCell ref="G75:H75"/>
    <mergeCell ref="B76:D76"/>
    <mergeCell ref="E76:H76"/>
    <mergeCell ref="G35:H35"/>
    <mergeCell ref="B35:C35"/>
    <mergeCell ref="G44:H44"/>
    <mergeCell ref="B45:C45"/>
    <mergeCell ref="G46:H46"/>
    <mergeCell ref="B46:C46"/>
    <mergeCell ref="B47:C47"/>
    <mergeCell ref="B51:F51"/>
    <mergeCell ref="B38:C39"/>
    <mergeCell ref="D38:D39"/>
    <mergeCell ref="B40:C41"/>
    <mergeCell ref="D40:D41"/>
    <mergeCell ref="G38:H38"/>
    <mergeCell ref="D23:E23"/>
    <mergeCell ref="B27:E27"/>
    <mergeCell ref="B128:H128"/>
    <mergeCell ref="B115:H115"/>
    <mergeCell ref="B114:H114"/>
    <mergeCell ref="C112:H112"/>
    <mergeCell ref="C107:F107"/>
    <mergeCell ref="B106:H106"/>
    <mergeCell ref="D116:F116"/>
    <mergeCell ref="B102:C102"/>
    <mergeCell ref="D102:F102"/>
    <mergeCell ref="G102:H102"/>
    <mergeCell ref="B103:C103"/>
    <mergeCell ref="D103:F103"/>
    <mergeCell ref="G103:H103"/>
    <mergeCell ref="G116:H116"/>
    <mergeCell ref="C85:H85"/>
    <mergeCell ref="B87:H87"/>
    <mergeCell ref="C84:E84"/>
    <mergeCell ref="B77:D78"/>
    <mergeCell ref="E77:H78"/>
    <mergeCell ref="B105:H105"/>
    <mergeCell ref="B118:H118"/>
    <mergeCell ref="B126:C126"/>
    <mergeCell ref="D126:F126"/>
    <mergeCell ref="G126:H126"/>
    <mergeCell ref="B123:C123"/>
    <mergeCell ref="D123:F123"/>
    <mergeCell ref="G123:H123"/>
    <mergeCell ref="B125:C125"/>
    <mergeCell ref="D125:F125"/>
    <mergeCell ref="G125:H125"/>
    <mergeCell ref="B119:H119"/>
    <mergeCell ref="B120:H120"/>
    <mergeCell ref="B122:C122"/>
    <mergeCell ref="D122:F122"/>
    <mergeCell ref="G122:H122"/>
    <mergeCell ref="C110:F110"/>
    <mergeCell ref="C111:D111"/>
    <mergeCell ref="G111:H111"/>
    <mergeCell ref="C108:D108"/>
    <mergeCell ref="G108:H108"/>
    <mergeCell ref="C109:H109"/>
    <mergeCell ref="B116:C116"/>
    <mergeCell ref="B101:C101"/>
    <mergeCell ref="D101:F101"/>
    <mergeCell ref="B94:D94"/>
    <mergeCell ref="G101:H101"/>
    <mergeCell ref="B95:H95"/>
    <mergeCell ref="B97:H97"/>
    <mergeCell ref="B98:C98"/>
    <mergeCell ref="D98:F98"/>
    <mergeCell ref="G98:H98"/>
    <mergeCell ref="B99:C99"/>
    <mergeCell ref="D99:F99"/>
    <mergeCell ref="G99:H99"/>
    <mergeCell ref="B100:C100"/>
    <mergeCell ref="D100:F100"/>
    <mergeCell ref="G100:H100"/>
    <mergeCell ref="B83:H83"/>
    <mergeCell ref="G84:H84"/>
    <mergeCell ref="B36:C36"/>
    <mergeCell ref="B37:C37"/>
    <mergeCell ref="G36:H36"/>
    <mergeCell ref="G37:H37"/>
    <mergeCell ref="G39:H39"/>
    <mergeCell ref="B48:C48"/>
    <mergeCell ref="G40:H40"/>
    <mergeCell ref="G41:H41"/>
    <mergeCell ref="G45:H45"/>
    <mergeCell ref="G56:H57"/>
    <mergeCell ref="B59:H59"/>
    <mergeCell ref="B43:C43"/>
    <mergeCell ref="G43:H43"/>
    <mergeCell ref="B52:F52"/>
    <mergeCell ref="B55:C55"/>
    <mergeCell ref="G55:H55"/>
    <mergeCell ref="B60:H60"/>
    <mergeCell ref="B61:E61"/>
    <mergeCell ref="F61:H61"/>
    <mergeCell ref="B62:C62"/>
    <mergeCell ref="D62:E62"/>
    <mergeCell ref="B44:C44"/>
    <mergeCell ref="B1:G1"/>
    <mergeCell ref="B2:H2"/>
    <mergeCell ref="D3:E3"/>
    <mergeCell ref="B13:H13"/>
    <mergeCell ref="G15:H15"/>
    <mergeCell ref="C16:H16"/>
    <mergeCell ref="G17:H17"/>
    <mergeCell ref="C18:H18"/>
    <mergeCell ref="B34:C34"/>
    <mergeCell ref="B30:C30"/>
    <mergeCell ref="B31:C31"/>
    <mergeCell ref="B32:C32"/>
    <mergeCell ref="B33:C33"/>
    <mergeCell ref="C19:H19"/>
    <mergeCell ref="C20:H20"/>
    <mergeCell ref="G30:H30"/>
    <mergeCell ref="G31:H31"/>
    <mergeCell ref="G32:H32"/>
    <mergeCell ref="G33:H33"/>
    <mergeCell ref="G29:H29"/>
    <mergeCell ref="B22:H22"/>
    <mergeCell ref="D4:E4"/>
    <mergeCell ref="D24:E24"/>
    <mergeCell ref="F10:G12"/>
    <mergeCell ref="F62:H72"/>
    <mergeCell ref="B63:C63"/>
    <mergeCell ref="D63:E63"/>
    <mergeCell ref="B64:C64"/>
    <mergeCell ref="D64:E64"/>
    <mergeCell ref="B65:C65"/>
    <mergeCell ref="D65:E65"/>
    <mergeCell ref="B66:C66"/>
    <mergeCell ref="D66:E66"/>
    <mergeCell ref="B67:C67"/>
    <mergeCell ref="D67:E67"/>
    <mergeCell ref="B68:C68"/>
    <mergeCell ref="D68:E68"/>
    <mergeCell ref="B72:C72"/>
    <mergeCell ref="D72:E72"/>
    <mergeCell ref="B69:C69"/>
    <mergeCell ref="B71:C71"/>
    <mergeCell ref="B70:C70"/>
    <mergeCell ref="D69:E69"/>
    <mergeCell ref="D70:E70"/>
    <mergeCell ref="D71:E71"/>
  </mergeCells>
  <dataValidations count="7">
    <dataValidation type="list" showInputMessage="1" showErrorMessage="1" sqref="J108 J111" xr:uid="{00000000-0002-0000-0000-000000000000}">
      <formula1>$B$22:$B$24</formula1>
    </dataValidation>
    <dataValidation type="list" allowBlank="1" showInputMessage="1" showErrorMessage="1" sqref="I76" xr:uid="{00000000-0002-0000-0000-000001000000}">
      <formula1>$J$75:$J$76</formula1>
    </dataValidation>
    <dataValidation type="list" allowBlank="1" showInputMessage="1" showErrorMessage="1" sqref="I75" xr:uid="{00000000-0002-0000-0000-000002000000}">
      <formula1>$J$91:$J$95</formula1>
    </dataValidation>
    <dataValidation type="list" allowBlank="1" showInputMessage="1" showErrorMessage="1" sqref="E75:F75 E76:H76" xr:uid="{00000000-0002-0000-0000-000003000000}">
      <formula1>$I$75:$I$76</formula1>
    </dataValidation>
    <dataValidation type="list" allowBlank="1" showInputMessage="1" showErrorMessage="1" sqref="G75:H75" xr:uid="{00000000-0002-0000-0000-000004000000}">
      <formula1>$I$89:$I$93</formula1>
    </dataValidation>
    <dataValidation type="list" showInputMessage="1" showErrorMessage="1" sqref="D45 G84:I84 G108:I108 G111:I111 C84:E84 C108:D108 C111:D111 G32:I32 D62:E63" xr:uid="{00000000-0002-0000-0000-000005000000}">
      <formula1>#REF!</formula1>
    </dataValidation>
    <dataValidation type="list" allowBlank="1" showInputMessage="1" showErrorMessage="1" sqref="F3:F4" xr:uid="{00000000-0002-0000-0000-00000A000000}">
      <formula1>#REF!</formula1>
    </dataValidation>
  </dataValidations>
  <printOptions horizontalCentered="1"/>
  <pageMargins left="0.5" right="0.5" top="0.25" bottom="0.25" header="0.3" footer="0.3"/>
  <pageSetup paperSize="9" scale="69" orientation="portrait" r:id="rId1"/>
  <headerFooter>
    <oddFooter>&amp;RPage &amp;P</oddFooter>
  </headerFooter>
  <rowBreaks count="2" manualBreakCount="2">
    <brk id="58" max="16383" man="1"/>
    <brk id="117" max="16383" man="1"/>
  </rowBreaks>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000-00000B000000}">
          <x14:formula1>
            <xm:f>'\\10.100.25.225\Branch Share - RCO\Users\869cnp\AppData\Local\Microsoft\Windows\Temporary Internet Files\Content.Outlook\X0ZQZ22Q\[- Leasing - New - CM - Hisham.xlsx]DD''s'!#REF!</xm:f>
          </x14:formula1>
          <xm:sqref>J84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92D050"/>
  </sheetPr>
  <dimension ref="A1:P2"/>
  <sheetViews>
    <sheetView tabSelected="1" topLeftCell="D1" workbookViewId="0">
      <selection activeCell="J6" sqref="J6"/>
    </sheetView>
  </sheetViews>
  <sheetFormatPr defaultRowHeight="14.4"/>
  <cols>
    <col min="1" max="1" width="24.6640625" bestFit="1" customWidth="1"/>
    <col min="2" max="2" width="15.6640625" bestFit="1" customWidth="1"/>
    <col min="3" max="3" width="14.6640625" bestFit="1" customWidth="1"/>
    <col min="4" max="4" width="14" bestFit="1" customWidth="1"/>
    <col min="5" max="5" width="14.109375" bestFit="1" customWidth="1"/>
    <col min="6" max="6" width="16.6640625" bestFit="1" customWidth="1"/>
    <col min="7" max="7" width="24.5546875" bestFit="1" customWidth="1"/>
    <col min="8" max="8" width="24.44140625" bestFit="1" customWidth="1"/>
    <col min="9" max="9" width="13.109375" bestFit="1" customWidth="1"/>
    <col min="10" max="10" width="11.88671875" bestFit="1" customWidth="1"/>
    <col min="11" max="11" width="14.5546875" bestFit="1" customWidth="1"/>
    <col min="12" max="12" width="23.33203125" bestFit="1" customWidth="1"/>
    <col min="13" max="13" width="5" bestFit="1" customWidth="1"/>
    <col min="14" max="14" width="11.6640625" bestFit="1" customWidth="1"/>
    <col min="15" max="15" width="12" bestFit="1" customWidth="1"/>
    <col min="16" max="16" width="17.44140625" bestFit="1" customWidth="1"/>
  </cols>
  <sheetData>
    <row r="1" spans="1:16">
      <c r="A1" s="164" t="s">
        <v>184</v>
      </c>
      <c r="B1" s="166" t="s">
        <v>43</v>
      </c>
      <c r="C1" s="165" t="s">
        <v>187</v>
      </c>
      <c r="D1" s="165" t="s">
        <v>188</v>
      </c>
      <c r="E1" s="165" t="s">
        <v>189</v>
      </c>
      <c r="F1" s="165" t="s">
        <v>185</v>
      </c>
      <c r="G1" s="165" t="s">
        <v>186</v>
      </c>
      <c r="H1" s="164" t="s">
        <v>190</v>
      </c>
      <c r="I1" s="164" t="s">
        <v>191</v>
      </c>
      <c r="J1" s="165" t="s">
        <v>192</v>
      </c>
      <c r="K1" s="165" t="s">
        <v>193</v>
      </c>
      <c r="L1" s="165" t="s">
        <v>194</v>
      </c>
      <c r="M1" s="165" t="s">
        <v>195</v>
      </c>
      <c r="N1" s="165" t="s">
        <v>196</v>
      </c>
      <c r="O1" s="165" t="s">
        <v>197</v>
      </c>
      <c r="P1" s="165" t="s">
        <v>198</v>
      </c>
    </row>
    <row r="2" spans="1:16" ht="28.8">
      <c r="A2" s="167" t="str">
        <f>'06 - CM'!H5</f>
        <v>AB/DMV/RAT/2021/019</v>
      </c>
      <c r="B2" t="str">
        <f>TEXT('06 - CM'!C3,"[$-809]dd mmmm yyyy;@")</f>
        <v>13 December 2021</v>
      </c>
      <c r="C2" s="168" t="str">
        <f>'06 - CM'!C14</f>
        <v>test cust</v>
      </c>
      <c r="D2" t="s">
        <v>208</v>
      </c>
      <c r="E2" t="s">
        <v>209</v>
      </c>
      <c r="F2" t="str">
        <f>'06 - CM'!G39</f>
        <v>test supp</v>
      </c>
      <c r="G2" s="168" t="str">
        <f>'06 - CM'!G41</f>
        <v>Dematagoda Road, Colombo 09.</v>
      </c>
      <c r="H2" t="str">
        <f>'06 - CM'!G31</f>
        <v xml:space="preserve">SUZUKI EBD-DA17V EVERY </v>
      </c>
      <c r="I2">
        <f>'06 - CM'!G34</f>
        <v>21131</v>
      </c>
      <c r="J2" s="358" t="s">
        <v>210</v>
      </c>
      <c r="K2" t="str">
        <f>'06 - CM'!G36</f>
        <v>DA17V-829059</v>
      </c>
      <c r="L2" t="str">
        <f>'06 - CM'!G37</f>
        <v>R06A-2343767</v>
      </c>
      <c r="M2">
        <f>'06 - CM'!G35</f>
        <v>2018</v>
      </c>
      <c r="N2" s="1">
        <f>'06 - CM'!D31</f>
        <v>4200000</v>
      </c>
      <c r="O2">
        <v>556555</v>
      </c>
      <c r="P2" t="s">
        <v>207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06 - CM</vt:lpstr>
      <vt:lpstr>Sheet8</vt:lpstr>
      <vt:lpstr>'06 - CM'!Print_Titles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2022-02-18T11:29:03Z</dcterms:modified>
</cp:coreProperties>
</file>